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rientações" sheetId="1" state="visible" r:id="rId3"/>
    <sheet name="Identificação" sheetId="2" state="visible" r:id="rId4"/>
    <sheet name="Itens" sheetId="3" state="visible" r:id="rId5"/>
    <sheet name="Coleta" sheetId="4" state="visible" r:id="rId6"/>
    <sheet name="Fornecedores" sheetId="5" state="visible" r:id="rId7"/>
    <sheet name="Mapa" sheetId="6" state="visible" r:id="rId8"/>
    <sheet name="Justificativas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9" authorId="0">
      <text>
        <r>
          <rPr>
            <sz val="10"/>
            <rFont val="Arial"/>
            <family val="2"/>
          </rPr>
          <t xml:space="preserve">Valor sugerido apenas como ponto de partida. Defina o limite conforme a orientação do órgão; não é número fixado na IN 65/2021.</t>
        </r>
      </text>
    </comment>
  </commentList>
</comments>
</file>

<file path=xl/sharedStrings.xml><?xml version="1.0" encoding="utf-8"?>
<sst xmlns="http://schemas.openxmlformats.org/spreadsheetml/2006/main" count="106" uniqueCount="100">
  <si>
    <t xml:space="preserve">Mapa de Preços — template</t>
  </si>
  <si>
    <t xml:space="preserve">Documento da pesquisa de preços da contratação (IN SEGES/ME nº 65/2021, art. 3º; IN SGD/ME nº 94/2022, art. 20). Responsáveis: Integrante Administrativo (coleta, fontes, fornecedores) com o Integrante Técnico (análise crítica e preço estimado).</t>
  </si>
  <si>
    <t xml:space="preserve">Legenda</t>
  </si>
  <si>
    <t xml:space="preserve">Fundo amarelo: célula para preencher.   Fundo azul: célula calculada, não editar.   Texto cinza em itálico: linha de exemplo, apagar antes de usar.</t>
  </si>
  <si>
    <t xml:space="preserve">Como preencher</t>
  </si>
  <si>
    <t xml:space="preserve">1. Aba Identificação: objeto, processo, equipe e datas (art. 3º, I e II).</t>
  </si>
  <si>
    <t xml:space="preserve">2. Aba Itens: um item por linha, com unidade, quantidade (do ETP) e o método estatístico escolhido.</t>
  </si>
  <si>
    <t xml:space="preserve">3. Aba Coleta: um preço por linha, com o parâmetro do art. 5º (I a V), a fonte, a data e o documento de suporte. Marque como Excluído o preço inexequível, inconsistente ou excessivamente elevado e escreva o motivo (art. 6º, caput e § 3º).</t>
  </si>
  <si>
    <t xml:space="preserve">4. Aba Fornecedores: todos os fornecedores consultados na pesquisa direta, inclusive os que não responderam (art. 5º, § 2º, IV).</t>
  </si>
  <si>
    <t xml:space="preserve">5. Aba Mapa: confira as estatísticas e os alertas. O preço estimado sai do método escolhido na aba Itens, com o ajuste percentual do art. 6º, § 2º, se houver.</t>
  </si>
  <si>
    <t xml:space="preserve">6. Aba Justificativas: metodologia, critérios de exclusão, escolha dos fornecedores e exceções (art. 3º, VI e VIII; art. 6º, §§ 1º e 5º).</t>
  </si>
  <si>
    <t xml:space="preserve">Regras da IN SEGES/ME 65/2021 refletidas na planilha (conferir no texto da norma antes de usar)</t>
  </si>
  <si>
    <t xml:space="preserve">Art. 5º: parâmetros I (sistemas oficiais, ex.: Painel de Preços), II (contratações similares da Administração, até 1 ano), III (mídia especializada, tabelas e sítios, até 6 meses), IV (pesquisa direta com no mínimo 3 fornecedores, até 6 meses), V (notas fiscais eletrônicas, até 1 ano).</t>
  </si>
  <si>
    <t xml:space="preserve">Art. 5º, § 1º: priorizar os parâmetros I e II; se não forem usados, justificar. A coluna de alerta do Mapa aponta o item sem preço válido desses parâmetros.</t>
  </si>
  <si>
    <t xml:space="preserve">Art. 6º: método média, mediana ou menor valor, sobre três ou mais preços válidos. Menos de três exige justificativa e aprovação (§ 5º). Outro método exige justificativa e aprovação (§ 1º).</t>
  </si>
  <si>
    <t xml:space="preserve">Art. 6º, § 4º: análise crítica quando houver grande variação. O coeficiente de variação (CV) é calculado por item; o limite de alerta é parâmetro do órgão, na aba Identificação.</t>
  </si>
  <si>
    <t xml:space="preserve">Art. 6º, § 6º: se o preço vier só do parâmetro I, não pode passar da mediana do item nos sistemas consultados.</t>
  </si>
  <si>
    <t xml:space="preserve">IN 94, art. 20, §§ 1º a 3º: proposta de fornecedor só com justificativa; considerar preços praticados pelos fabricantes; usar o PMC-TIC quando o item constar em catálogo, salvo pesquisa com valor inferior.</t>
  </si>
  <si>
    <t xml:space="preserve">Identificação da pesquisa de preços</t>
  </si>
  <si>
    <t xml:space="preserve">Órgão/entidade</t>
  </si>
  <si>
    <t xml:space="preserve">Processo nº</t>
  </si>
  <si>
    <t xml:space="preserve">Objeto da contratação (art. 3º, I)</t>
  </si>
  <si>
    <t xml:space="preserve">Responsáveis pela pesquisa / Equipe de Planejamento (art. 3º, II)</t>
  </si>
  <si>
    <t xml:space="preserve">Data de conclusão da pesquisa</t>
  </si>
  <si>
    <t xml:space="preserve">Data prevista de divulgação do edital</t>
  </si>
  <si>
    <t xml:space="preserve">Item em Catálogo de Soluções de TIC com PMC-TIC? (IN 94, art. 20, § 3º)</t>
  </si>
  <si>
    <t xml:space="preserve">Não</t>
  </si>
  <si>
    <t xml:space="preserve">Limite de coeficiente de variação para alerta (parâmetro do órgão)</t>
  </si>
  <si>
    <t xml:space="preserve">Item</t>
  </si>
  <si>
    <t xml:space="preserve">Descrição (igual ao TR)</t>
  </si>
  <si>
    <t xml:space="preserve">CATMAT/CATSER</t>
  </si>
  <si>
    <t xml:space="preserve">Unidade</t>
  </si>
  <si>
    <t xml:space="preserve">Quantidade (ETP)</t>
  </si>
  <si>
    <t xml:space="preserve">Método (art. 6º)</t>
  </si>
  <si>
    <t xml:space="preserve">Ajuste % (art. 6º, § 2º)</t>
  </si>
  <si>
    <t xml:space="preserve">PMC-TIC (se houver)</t>
  </si>
  <si>
    <t xml:space="preserve">EXEMPLO — Notebook corporativo, conforme especificação do TR</t>
  </si>
  <si>
    <t xml:space="preserve">000000</t>
  </si>
  <si>
    <t xml:space="preserve">unidade</t>
  </si>
  <si>
    <t xml:space="preserve">Mediana</t>
  </si>
  <si>
    <t xml:space="preserve">Parâmetro (art. 5º)</t>
  </si>
  <si>
    <t xml:space="preserve">Fonte (identificação: sistema, órgão/contrato, sítio, fornecedor, NF)</t>
  </si>
  <si>
    <t xml:space="preserve">Data do preço / acesso</t>
  </si>
  <si>
    <t xml:space="preserve">Valor unitário coletado</t>
  </si>
  <si>
    <t xml:space="preserve">Fator de atualização (1 = sem)</t>
  </si>
  <si>
    <t xml:space="preserve">Valor unitário atualizado</t>
  </si>
  <si>
    <t xml:space="preserve">Situação</t>
  </si>
  <si>
    <t xml:space="preserve">Motivo da exclusão (art. 6º, § 3º)</t>
  </si>
  <si>
    <t xml:space="preserve">Documento de suporte (arquivo/página)</t>
  </si>
  <si>
    <t xml:space="preserve">I</t>
  </si>
  <si>
    <t xml:space="preserve">EXEMPLO — Painel de Preços, consulta em dd/mm/aaaa</t>
  </si>
  <si>
    <t xml:space="preserve">Válido</t>
  </si>
  <si>
    <t xml:space="preserve">insumos/precos/painel.pdf p. 2</t>
  </si>
  <si>
    <t xml:space="preserve">II</t>
  </si>
  <si>
    <t xml:space="preserve">EXEMPLO — Contrato nº xx/aaaa do órgão X</t>
  </si>
  <si>
    <t xml:space="preserve">insumos/precos/contrato-x.pdf</t>
  </si>
  <si>
    <t xml:space="preserve">IV</t>
  </si>
  <si>
    <t xml:space="preserve">EXEMPLO — Fornecedor A (cotação formal)</t>
  </si>
  <si>
    <t xml:space="preserve">Excluído</t>
  </si>
  <si>
    <t xml:space="preserve">EXEMPLO — 80% acima da mediana dos demais preços</t>
  </si>
  <si>
    <t xml:space="preserve">insumos/precos/cotacao-a.pdf</t>
  </si>
  <si>
    <t xml:space="preserve">Fornecedor</t>
  </si>
  <si>
    <t xml:space="preserve">CNPJ/CPF</t>
  </si>
  <si>
    <t xml:space="preserve">E-mail / telefone</t>
  </si>
  <si>
    <t xml:space="preserve">Data da solicitação</t>
  </si>
  <si>
    <t xml:space="preserve">Data da resposta</t>
  </si>
  <si>
    <t xml:space="preserve">Respondeu?</t>
  </si>
  <si>
    <t xml:space="preserve">Justificativa da escolha (art. 3º, VIII)</t>
  </si>
  <si>
    <t xml:space="preserve">Documento (solicitação/proposta)</t>
  </si>
  <si>
    <t xml:space="preserve">EXEMPLO — Fornecedor A</t>
  </si>
  <si>
    <t xml:space="preserve">00.000.000/0001-00</t>
  </si>
  <si>
    <t xml:space="preserve">comercial@exemplo.com</t>
  </si>
  <si>
    <t xml:space="preserve">Sim</t>
  </si>
  <si>
    <t xml:space="preserve">EXEMPLO — revenda autorizada com contratos públicos do mesmo objeto</t>
  </si>
  <si>
    <t xml:space="preserve">Descrição</t>
  </si>
  <si>
    <t xml:space="preserve">Quantidade</t>
  </si>
  <si>
    <t xml:space="preserve">Nº preços válidos</t>
  </si>
  <si>
    <t xml:space="preserve">Média</t>
  </si>
  <si>
    <t xml:space="preserve">Menor valor</t>
  </si>
  <si>
    <t xml:space="preserve">Desvio padrão</t>
  </si>
  <si>
    <t xml:space="preserve">CV</t>
  </si>
  <si>
    <t xml:space="preserve">Método</t>
  </si>
  <si>
    <t xml:space="preserve">Preço unitário (método)</t>
  </si>
  <si>
    <t xml:space="preserve">Ajuste %</t>
  </si>
  <si>
    <t xml:space="preserve">Preço unitário estimado</t>
  </si>
  <si>
    <t xml:space="preserve">PMC-TIC</t>
  </si>
  <si>
    <t xml:space="preserve">Valor total estimado</t>
  </si>
  <si>
    <t xml:space="preserve">Alertas</t>
  </si>
  <si>
    <t xml:space="preserve">TOTAL</t>
  </si>
  <si>
    <t xml:space="preserve">Justificativas da pesquisa de preços</t>
  </si>
  <si>
    <t xml:space="preserve">Caracterização das fontes consultadas (art. 3º, III)</t>
  </si>
  <si>
    <t xml:space="preserve">Método estatístico aplicado e justificativa (art. 3º, V e VI; art. 6º)</t>
  </si>
  <si>
    <t xml:space="preserve">Critérios para desconsiderar valores inexequíveis, inconsistentes ou excessivamente elevados (art. 6º, § 3º)</t>
  </si>
  <si>
    <t xml:space="preserve">Análise crítica dos preços com grande variação (art. 6º, § 4º)</t>
  </si>
  <si>
    <t xml:space="preserve">Justificativa da ausência dos parâmetros I e II, se for o caso (art. 5º, § 1º)</t>
  </si>
  <si>
    <t xml:space="preserve">Justificativa da escolha dos fornecedores na pesquisa direta (art. 3º, VIII)</t>
  </si>
  <si>
    <t xml:space="preserve">Uso de propostas de fornecedores como única fonte, se for o caso (IN 94, art. 20, § 1º)</t>
  </si>
  <si>
    <t xml:space="preserve">Itens com menos de 3 preços ou outro método: justificativa e aprovação (art. 6º, §§ 1º e 5º)</t>
  </si>
  <si>
    <t xml:space="preserve">Orçamentos fora do prazo e índice de atualização usado (art. 5º, § 3º)</t>
  </si>
  <si>
    <t xml:space="preserve">Memória de cálculo e documentos de suporte (art. 3º, VII)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</si>
</sst>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%"/>
    <numFmt numFmtId="166" formatCode="0.00%"/>
    <numFmt numFmtId="167" formatCode="&quot;R$ &quot;#,##0.00"/>
    <numFmt numFmtId="168" formatCode="dd/mm/yyyy"/>
    <numFmt numFmtId="169" formatCode="0.0000"/>
    <numFmt numFmtId="170" formatCode="General"/>
    <numFmt numFmtId="171" formatCode="0.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2"/>
    </font>
    <font>
      <b val="true"/>
      <sz val="10"/>
      <color rgb="FFFFFFFF"/>
      <name val="Arial"/>
      <family val="0"/>
      <charset val="1"/>
    </font>
    <font>
      <i val="true"/>
      <sz val="10"/>
      <color rgb="FF7F7F7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4CC"/>
        <bgColor rgb="FFFFFFFF"/>
      </patternFill>
    </fill>
    <fill>
      <patternFill patternType="solid">
        <fgColor rgb="FF1F4E5A"/>
        <bgColor rgb="FF003366"/>
      </patternFill>
    </fill>
    <fill>
      <patternFill patternType="solid">
        <fgColor rgb="FFE7EEF5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0" fillId="4" borderId="1" xfId="0" applyFont="fals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4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7" fontId="0" fillId="4" borderId="1" xfId="0" applyFont="false" applyBorder="true" applyAlignment="true" applyProtection="false">
      <alignment horizontal="general" vertical="top" textRotation="0" wrapText="false" indent="0" shrinkToFit="false"/>
      <protection locked="true" hidden="false"/>
    </xf>
    <xf numFmtId="171" fontId="0" fillId="4" borderId="1" xfId="0" applyFont="false" applyBorder="true" applyAlignment="true" applyProtection="false">
      <alignment horizontal="general" vertical="top" textRotation="0" wrapText="false" indent="0" shrinkToFit="false"/>
      <protection locked="true" hidden="false"/>
    </xf>
    <xf numFmtId="166" fontId="0" fillId="4" borderId="1" xfId="0" applyFont="false" applyBorder="true" applyAlignment="true" applyProtection="false">
      <alignment horizontal="general" vertical="top" textRotation="0" wrapText="false" indent="0" shrinkToFit="false"/>
      <protection locked="true" hidden="false"/>
    </xf>
    <xf numFmtId="167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4CC"/>
      <rgbColor rgb="FFE7EEF5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4E5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10"/>
  </cols>
  <sheetData>
    <row r="2" customFormat="false" ht="15" hidden="false" customHeight="false" outlineLevel="0" collapsed="false">
      <c r="B2" s="1" t="s">
        <v>0</v>
      </c>
    </row>
    <row r="3" customFormat="false" ht="23.85" hidden="false" customHeight="false" outlineLevel="0" collapsed="false">
      <c r="B3" s="2" t="s">
        <v>1</v>
      </c>
    </row>
    <row r="4" customFormat="false" ht="15" hidden="false" customHeight="false" outlineLevel="0" collapsed="false">
      <c r="B4" s="2"/>
    </row>
    <row r="5" customFormat="false" ht="15" hidden="false" customHeight="false" outlineLevel="0" collapsed="false">
      <c r="B5" s="3" t="s">
        <v>2</v>
      </c>
    </row>
    <row r="6" customFormat="false" ht="23.85" hidden="false" customHeight="false" outlineLevel="0" collapsed="false">
      <c r="B6" s="2" t="s">
        <v>3</v>
      </c>
    </row>
    <row r="7" customFormat="false" ht="15" hidden="false" customHeight="false" outlineLevel="0" collapsed="false">
      <c r="B7" s="2"/>
    </row>
    <row r="8" customFormat="false" ht="15" hidden="false" customHeight="false" outlineLevel="0" collapsed="false">
      <c r="B8" s="3" t="s">
        <v>4</v>
      </c>
    </row>
    <row r="9" customFormat="false" ht="15" hidden="false" customHeight="false" outlineLevel="0" collapsed="false">
      <c r="B9" s="2" t="s">
        <v>5</v>
      </c>
    </row>
    <row r="10" customFormat="false" ht="15" hidden="false" customHeight="false" outlineLevel="0" collapsed="false">
      <c r="B10" s="2" t="s">
        <v>6</v>
      </c>
    </row>
    <row r="11" customFormat="false" ht="23.85" hidden="false" customHeight="false" outlineLevel="0" collapsed="false">
      <c r="B11" s="2" t="s">
        <v>7</v>
      </c>
    </row>
    <row r="12" customFormat="false" ht="15" hidden="false" customHeight="false" outlineLevel="0" collapsed="false">
      <c r="B12" s="2" t="s">
        <v>8</v>
      </c>
    </row>
    <row r="13" customFormat="false" ht="23.85" hidden="false" customHeight="false" outlineLevel="0" collapsed="false">
      <c r="B13" s="2" t="s">
        <v>9</v>
      </c>
    </row>
    <row r="14" customFormat="false" ht="15" hidden="false" customHeight="false" outlineLevel="0" collapsed="false">
      <c r="B14" s="2" t="s">
        <v>10</v>
      </c>
    </row>
    <row r="15" customFormat="false" ht="15" hidden="false" customHeight="false" outlineLevel="0" collapsed="false">
      <c r="B15" s="2"/>
    </row>
    <row r="16" customFormat="false" ht="15" hidden="false" customHeight="false" outlineLevel="0" collapsed="false">
      <c r="B16" s="3" t="s">
        <v>11</v>
      </c>
    </row>
    <row r="17" customFormat="false" ht="35.05" hidden="false" customHeight="false" outlineLevel="0" collapsed="false">
      <c r="B17" s="2" t="s">
        <v>12</v>
      </c>
    </row>
    <row r="18" customFormat="false" ht="23.85" hidden="false" customHeight="false" outlineLevel="0" collapsed="false">
      <c r="B18" s="2" t="s">
        <v>13</v>
      </c>
    </row>
    <row r="19" customFormat="false" ht="23.85" hidden="false" customHeight="false" outlineLevel="0" collapsed="false">
      <c r="B19" s="2" t="s">
        <v>14</v>
      </c>
    </row>
    <row r="20" customFormat="false" ht="23.85" hidden="false" customHeight="false" outlineLevel="0" collapsed="false">
      <c r="B20" s="2" t="s">
        <v>15</v>
      </c>
    </row>
    <row r="21" customFormat="false" ht="15" hidden="false" customHeight="false" outlineLevel="0" collapsed="false">
      <c r="B21" s="2" t="s">
        <v>16</v>
      </c>
    </row>
    <row r="22" customFormat="false" ht="23.85" hidden="false" customHeight="false" outlineLevel="0" collapsed="false">
      <c r="B22" s="2" t="s">
        <v>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70"/>
  </cols>
  <sheetData>
    <row r="1" customFormat="false" ht="15" hidden="false" customHeight="false" outlineLevel="0" collapsed="false">
      <c r="A1" s="4" t="s">
        <v>18</v>
      </c>
    </row>
    <row r="2" customFormat="false" ht="15" hidden="false" customHeight="false" outlineLevel="0" collapsed="false">
      <c r="A2" s="5" t="s">
        <v>19</v>
      </c>
      <c r="B2" s="6"/>
    </row>
    <row r="3" customFormat="false" ht="15" hidden="false" customHeight="false" outlineLevel="0" collapsed="false">
      <c r="A3" s="5" t="s">
        <v>20</v>
      </c>
      <c r="B3" s="6"/>
    </row>
    <row r="4" customFormat="false" ht="15" hidden="false" customHeight="false" outlineLevel="0" collapsed="false">
      <c r="A4" s="5" t="s">
        <v>21</v>
      </c>
      <c r="B4" s="6"/>
    </row>
    <row r="5" customFormat="false" ht="15" hidden="false" customHeight="false" outlineLevel="0" collapsed="false">
      <c r="A5" s="5" t="s">
        <v>22</v>
      </c>
      <c r="B5" s="6"/>
    </row>
    <row r="6" customFormat="false" ht="15" hidden="false" customHeight="false" outlineLevel="0" collapsed="false">
      <c r="A6" s="5" t="s">
        <v>23</v>
      </c>
      <c r="B6" s="6"/>
    </row>
    <row r="7" customFormat="false" ht="15" hidden="false" customHeight="false" outlineLevel="0" collapsed="false">
      <c r="A7" s="5" t="s">
        <v>24</v>
      </c>
      <c r="B7" s="6"/>
    </row>
    <row r="8" customFormat="false" ht="15" hidden="false" customHeight="false" outlineLevel="0" collapsed="false">
      <c r="A8" s="5" t="s">
        <v>25</v>
      </c>
      <c r="B8" s="6" t="s">
        <v>26</v>
      </c>
    </row>
    <row r="9" customFormat="false" ht="15" hidden="false" customHeight="false" outlineLevel="0" collapsed="false">
      <c r="A9" s="5" t="s">
        <v>27</v>
      </c>
      <c r="B9" s="7" t="n">
        <v>0.25</v>
      </c>
    </row>
  </sheetData>
  <dataValidations count="1">
    <dataValidation allowBlank="true" errorStyle="stop" operator="between" showDropDown="false" showErrorMessage="false" showInputMessage="false" sqref="B8" type="list">
      <formula1>"Sim,Não"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50"/>
    <col collapsed="false" customWidth="true" hidden="false" outlineLevel="0" max="3" min="3" style="0" width="15"/>
    <col collapsed="false" customWidth="true" hidden="false" outlineLevel="0" max="4" min="4" style="0" width="11"/>
    <col collapsed="false" customWidth="true" hidden="false" outlineLevel="0" max="5" min="5" style="0" width="14"/>
    <col collapsed="false" customWidth="true" hidden="false" outlineLevel="0" max="6" min="6" style="0" width="16"/>
    <col collapsed="false" customWidth="true" hidden="false" outlineLevel="0" max="7" min="7" style="0" width="14"/>
    <col collapsed="false" customWidth="true" hidden="false" outlineLevel="0" max="8" min="8" style="0" width="16"/>
  </cols>
  <sheetData>
    <row r="1" customFormat="false" ht="42" hidden="false" customHeight="true" outlineLevel="0" collapsed="false">
      <c r="A1" s="8" t="s">
        <v>28</v>
      </c>
      <c r="B1" s="8" t="s">
        <v>29</v>
      </c>
      <c r="C1" s="8" t="s">
        <v>30</v>
      </c>
      <c r="D1" s="8" t="s">
        <v>31</v>
      </c>
      <c r="E1" s="8" t="s">
        <v>32</v>
      </c>
      <c r="F1" s="8" t="s">
        <v>33</v>
      </c>
      <c r="G1" s="8" t="s">
        <v>34</v>
      </c>
      <c r="H1" s="8" t="s">
        <v>35</v>
      </c>
    </row>
    <row r="2" customFormat="false" ht="15" hidden="false" customHeight="false" outlineLevel="0" collapsed="false">
      <c r="A2" s="9" t="n">
        <v>1</v>
      </c>
      <c r="B2" s="9" t="s">
        <v>36</v>
      </c>
      <c r="C2" s="9" t="s">
        <v>37</v>
      </c>
      <c r="D2" s="9" t="s">
        <v>38</v>
      </c>
      <c r="E2" s="9" t="n">
        <v>150</v>
      </c>
      <c r="F2" s="9" t="s">
        <v>39</v>
      </c>
      <c r="G2" s="10" t="n">
        <v>0</v>
      </c>
      <c r="H2" s="11"/>
    </row>
    <row r="3" customFormat="false" ht="15" hidden="false" customHeight="false" outlineLevel="0" collapsed="false">
      <c r="A3" s="12"/>
      <c r="B3" s="12"/>
      <c r="C3" s="12"/>
      <c r="D3" s="12"/>
      <c r="E3" s="12"/>
      <c r="F3" s="12"/>
      <c r="G3" s="13"/>
      <c r="H3" s="14"/>
    </row>
    <row r="4" customFormat="false" ht="15" hidden="false" customHeight="false" outlineLevel="0" collapsed="false">
      <c r="A4" s="12"/>
      <c r="B4" s="12"/>
      <c r="C4" s="12"/>
      <c r="D4" s="12"/>
      <c r="E4" s="12"/>
      <c r="F4" s="12"/>
      <c r="G4" s="13"/>
      <c r="H4" s="14"/>
    </row>
    <row r="5" customFormat="false" ht="15" hidden="false" customHeight="false" outlineLevel="0" collapsed="false">
      <c r="A5" s="12"/>
      <c r="B5" s="12"/>
      <c r="C5" s="12"/>
      <c r="D5" s="12"/>
      <c r="E5" s="12"/>
      <c r="F5" s="12"/>
      <c r="G5" s="13"/>
      <c r="H5" s="14"/>
    </row>
    <row r="6" customFormat="false" ht="15" hidden="false" customHeight="false" outlineLevel="0" collapsed="false">
      <c r="A6" s="12"/>
      <c r="B6" s="12"/>
      <c r="C6" s="12"/>
      <c r="D6" s="12"/>
      <c r="E6" s="12"/>
      <c r="F6" s="12"/>
      <c r="G6" s="13"/>
      <c r="H6" s="14"/>
    </row>
    <row r="7" customFormat="false" ht="15" hidden="false" customHeight="false" outlineLevel="0" collapsed="false">
      <c r="A7" s="12"/>
      <c r="B7" s="12"/>
      <c r="C7" s="12"/>
      <c r="D7" s="12"/>
      <c r="E7" s="12"/>
      <c r="F7" s="12"/>
      <c r="G7" s="13"/>
      <c r="H7" s="14"/>
    </row>
    <row r="8" customFormat="false" ht="15" hidden="false" customHeight="false" outlineLevel="0" collapsed="false">
      <c r="A8" s="12"/>
      <c r="B8" s="12"/>
      <c r="C8" s="12"/>
      <c r="D8" s="12"/>
      <c r="E8" s="12"/>
      <c r="F8" s="12"/>
      <c r="G8" s="13"/>
      <c r="H8" s="14"/>
    </row>
    <row r="9" customFormat="false" ht="15" hidden="false" customHeight="false" outlineLevel="0" collapsed="false">
      <c r="A9" s="12"/>
      <c r="B9" s="12"/>
      <c r="C9" s="12"/>
      <c r="D9" s="12"/>
      <c r="E9" s="12"/>
      <c r="F9" s="12"/>
      <c r="G9" s="13"/>
      <c r="H9" s="14"/>
    </row>
    <row r="10" customFormat="false" ht="15" hidden="false" customHeight="false" outlineLevel="0" collapsed="false">
      <c r="A10" s="12"/>
      <c r="B10" s="12"/>
      <c r="C10" s="12"/>
      <c r="D10" s="12"/>
      <c r="E10" s="12"/>
      <c r="F10" s="12"/>
      <c r="G10" s="13"/>
      <c r="H10" s="14"/>
    </row>
    <row r="11" customFormat="false" ht="15" hidden="false" customHeight="false" outlineLevel="0" collapsed="false">
      <c r="A11" s="12"/>
      <c r="B11" s="12"/>
      <c r="C11" s="12"/>
      <c r="D11" s="12"/>
      <c r="E11" s="12"/>
      <c r="F11" s="12"/>
      <c r="G11" s="13"/>
      <c r="H11" s="14"/>
    </row>
    <row r="12" customFormat="false" ht="15" hidden="false" customHeight="false" outlineLevel="0" collapsed="false">
      <c r="A12" s="12"/>
      <c r="B12" s="12"/>
      <c r="C12" s="12"/>
      <c r="D12" s="12"/>
      <c r="E12" s="12"/>
      <c r="F12" s="12"/>
      <c r="G12" s="13"/>
      <c r="H12" s="14"/>
    </row>
    <row r="13" customFormat="false" ht="15" hidden="false" customHeight="false" outlineLevel="0" collapsed="false">
      <c r="A13" s="12"/>
      <c r="B13" s="12"/>
      <c r="C13" s="12"/>
      <c r="D13" s="12"/>
      <c r="E13" s="12"/>
      <c r="F13" s="12"/>
      <c r="G13" s="13"/>
      <c r="H13" s="14"/>
    </row>
    <row r="14" customFormat="false" ht="15" hidden="false" customHeight="false" outlineLevel="0" collapsed="false">
      <c r="A14" s="12"/>
      <c r="B14" s="12"/>
      <c r="C14" s="12"/>
      <c r="D14" s="12"/>
      <c r="E14" s="12"/>
      <c r="F14" s="12"/>
      <c r="G14" s="13"/>
      <c r="H14" s="14"/>
    </row>
    <row r="15" customFormat="false" ht="15" hidden="false" customHeight="false" outlineLevel="0" collapsed="false">
      <c r="A15" s="12"/>
      <c r="B15" s="12"/>
      <c r="C15" s="12"/>
      <c r="D15" s="12"/>
      <c r="E15" s="12"/>
      <c r="F15" s="12"/>
      <c r="G15" s="13"/>
      <c r="H15" s="14"/>
    </row>
    <row r="16" customFormat="false" ht="15" hidden="false" customHeight="false" outlineLevel="0" collapsed="false">
      <c r="A16" s="12"/>
      <c r="B16" s="12"/>
      <c r="C16" s="12"/>
      <c r="D16" s="12"/>
      <c r="E16" s="12"/>
      <c r="F16" s="12"/>
      <c r="G16" s="13"/>
      <c r="H16" s="14"/>
    </row>
    <row r="17" customFormat="false" ht="15" hidden="false" customHeight="false" outlineLevel="0" collapsed="false">
      <c r="A17" s="12"/>
      <c r="B17" s="12"/>
      <c r="C17" s="12"/>
      <c r="D17" s="12"/>
      <c r="E17" s="12"/>
      <c r="F17" s="12"/>
      <c r="G17" s="13"/>
      <c r="H17" s="14"/>
    </row>
    <row r="18" customFormat="false" ht="15" hidden="false" customHeight="false" outlineLevel="0" collapsed="false">
      <c r="A18" s="12"/>
      <c r="B18" s="12"/>
      <c r="C18" s="12"/>
      <c r="D18" s="12"/>
      <c r="E18" s="12"/>
      <c r="F18" s="12"/>
      <c r="G18" s="13"/>
      <c r="H18" s="14"/>
    </row>
    <row r="19" customFormat="false" ht="15" hidden="false" customHeight="false" outlineLevel="0" collapsed="false">
      <c r="A19" s="12"/>
      <c r="B19" s="12"/>
      <c r="C19" s="12"/>
      <c r="D19" s="12"/>
      <c r="E19" s="12"/>
      <c r="F19" s="12"/>
      <c r="G19" s="13"/>
      <c r="H19" s="14"/>
    </row>
    <row r="20" customFormat="false" ht="15" hidden="false" customHeight="false" outlineLevel="0" collapsed="false">
      <c r="A20" s="12"/>
      <c r="B20" s="12"/>
      <c r="C20" s="12"/>
      <c r="D20" s="12"/>
      <c r="E20" s="12"/>
      <c r="F20" s="12"/>
      <c r="G20" s="13"/>
      <c r="H20" s="14"/>
    </row>
    <row r="21" customFormat="false" ht="15" hidden="false" customHeight="false" outlineLevel="0" collapsed="false">
      <c r="A21" s="12"/>
      <c r="B21" s="12"/>
      <c r="C21" s="12"/>
      <c r="D21" s="12"/>
      <c r="E21" s="12"/>
      <c r="F21" s="12"/>
      <c r="G21" s="13"/>
      <c r="H21" s="14"/>
    </row>
    <row r="22" customFormat="false" ht="15" hidden="false" customHeight="false" outlineLevel="0" collapsed="false">
      <c r="A22" s="12"/>
      <c r="B22" s="12"/>
      <c r="C22" s="12"/>
      <c r="D22" s="12"/>
      <c r="E22" s="12"/>
      <c r="F22" s="12"/>
      <c r="G22" s="13"/>
      <c r="H22" s="14"/>
    </row>
    <row r="23" customFormat="false" ht="15" hidden="false" customHeight="false" outlineLevel="0" collapsed="false">
      <c r="A23" s="12"/>
      <c r="B23" s="12"/>
      <c r="C23" s="12"/>
      <c r="D23" s="12"/>
      <c r="E23" s="12"/>
      <c r="F23" s="12"/>
      <c r="G23" s="13"/>
      <c r="H23" s="14"/>
    </row>
    <row r="24" customFormat="false" ht="15" hidden="false" customHeight="false" outlineLevel="0" collapsed="false">
      <c r="A24" s="12"/>
      <c r="B24" s="12"/>
      <c r="C24" s="12"/>
      <c r="D24" s="12"/>
      <c r="E24" s="12"/>
      <c r="F24" s="12"/>
      <c r="G24" s="13"/>
      <c r="H24" s="14"/>
    </row>
    <row r="25" customFormat="false" ht="15" hidden="false" customHeight="false" outlineLevel="0" collapsed="false">
      <c r="A25" s="12"/>
      <c r="B25" s="12"/>
      <c r="C25" s="12"/>
      <c r="D25" s="12"/>
      <c r="E25" s="12"/>
      <c r="F25" s="12"/>
      <c r="G25" s="13"/>
      <c r="H25" s="14"/>
    </row>
    <row r="26" customFormat="false" ht="15" hidden="false" customHeight="false" outlineLevel="0" collapsed="false">
      <c r="A26" s="12"/>
      <c r="B26" s="12"/>
      <c r="C26" s="12"/>
      <c r="D26" s="12"/>
      <c r="E26" s="12"/>
      <c r="F26" s="12"/>
      <c r="G26" s="13"/>
      <c r="H26" s="14"/>
    </row>
    <row r="27" customFormat="false" ht="15" hidden="false" customHeight="false" outlineLevel="0" collapsed="false">
      <c r="A27" s="12"/>
      <c r="B27" s="12"/>
      <c r="C27" s="12"/>
      <c r="D27" s="12"/>
      <c r="E27" s="12"/>
      <c r="F27" s="12"/>
      <c r="G27" s="13"/>
      <c r="H27" s="14"/>
    </row>
    <row r="28" customFormat="false" ht="15" hidden="false" customHeight="false" outlineLevel="0" collapsed="false">
      <c r="A28" s="12"/>
      <c r="B28" s="12"/>
      <c r="C28" s="12"/>
      <c r="D28" s="12"/>
      <c r="E28" s="12"/>
      <c r="F28" s="12"/>
      <c r="G28" s="13"/>
      <c r="H28" s="14"/>
    </row>
    <row r="29" customFormat="false" ht="15" hidden="false" customHeight="false" outlineLevel="0" collapsed="false">
      <c r="A29" s="12"/>
      <c r="B29" s="12"/>
      <c r="C29" s="12"/>
      <c r="D29" s="12"/>
      <c r="E29" s="12"/>
      <c r="F29" s="12"/>
      <c r="G29" s="13"/>
      <c r="H29" s="14"/>
    </row>
    <row r="30" customFormat="false" ht="15" hidden="false" customHeight="false" outlineLevel="0" collapsed="false">
      <c r="A30" s="12"/>
      <c r="B30" s="12"/>
      <c r="C30" s="12"/>
      <c r="D30" s="12"/>
      <c r="E30" s="12"/>
      <c r="F30" s="12"/>
      <c r="G30" s="13"/>
      <c r="H30" s="14"/>
    </row>
    <row r="31" customFormat="false" ht="15" hidden="false" customHeight="false" outlineLevel="0" collapsed="false">
      <c r="A31" s="12"/>
      <c r="B31" s="12"/>
      <c r="C31" s="12"/>
      <c r="D31" s="12"/>
      <c r="E31" s="12"/>
      <c r="F31" s="12"/>
      <c r="G31" s="13"/>
      <c r="H31" s="14"/>
    </row>
  </sheetData>
  <dataValidations count="1">
    <dataValidation allowBlank="true" errorStyle="stop" operator="between" showDropDown="false" showErrorMessage="false" showInputMessage="false" sqref="F2:F31" type="list">
      <formula1>"Média,Mediana,Menor valor"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5"/>
    <col collapsed="false" customWidth="true" hidden="false" outlineLevel="0" max="3" min="3" style="0" width="46"/>
    <col collapsed="false" customWidth="true" hidden="false" outlineLevel="0" max="4" min="4" style="0" width="14"/>
    <col collapsed="false" customWidth="true" hidden="false" outlineLevel="0" max="5" min="5" style="0" width="16"/>
    <col collapsed="false" customWidth="true" hidden="false" outlineLevel="0" max="6" min="6" style="0" width="13"/>
    <col collapsed="false" customWidth="true" hidden="false" outlineLevel="0" max="7" min="7" style="0" width="16"/>
    <col collapsed="false" customWidth="true" hidden="false" outlineLevel="0" max="8" min="8" style="0" width="12"/>
    <col collapsed="false" customWidth="true" hidden="false" outlineLevel="0" max="9" min="9" style="0" width="40"/>
    <col collapsed="false" customWidth="true" hidden="false" outlineLevel="0" max="10" min="10" style="0" width="34"/>
  </cols>
  <sheetData>
    <row r="1" customFormat="false" ht="42" hidden="false" customHeight="true" outlineLevel="0" collapsed="false">
      <c r="A1" s="8" t="s">
        <v>28</v>
      </c>
      <c r="B1" s="8" t="s">
        <v>40</v>
      </c>
      <c r="C1" s="8" t="s">
        <v>41</v>
      </c>
      <c r="D1" s="8" t="s">
        <v>42</v>
      </c>
      <c r="E1" s="8" t="s">
        <v>43</v>
      </c>
      <c r="F1" s="8" t="s">
        <v>44</v>
      </c>
      <c r="G1" s="8" t="s">
        <v>45</v>
      </c>
      <c r="H1" s="8" t="s">
        <v>46</v>
      </c>
      <c r="I1" s="8" t="s">
        <v>47</v>
      </c>
      <c r="J1" s="8" t="s">
        <v>48</v>
      </c>
    </row>
    <row r="2" customFormat="false" ht="15" hidden="false" customHeight="false" outlineLevel="0" collapsed="false">
      <c r="A2" s="9" t="n">
        <v>1</v>
      </c>
      <c r="B2" s="9" t="s">
        <v>49</v>
      </c>
      <c r="C2" s="9" t="s">
        <v>50</v>
      </c>
      <c r="D2" s="15"/>
      <c r="E2" s="11" t="n">
        <v>5200</v>
      </c>
      <c r="F2" s="16" t="n">
        <v>1</v>
      </c>
      <c r="G2" s="17" t="n">
        <f aca="false">IF(E2="","",E2*IF(F2="",1,F2))</f>
        <v>5200</v>
      </c>
      <c r="H2" s="9" t="s">
        <v>51</v>
      </c>
      <c r="I2" s="9"/>
      <c r="J2" s="9" t="s">
        <v>52</v>
      </c>
    </row>
    <row r="3" customFormat="false" ht="15" hidden="false" customHeight="false" outlineLevel="0" collapsed="false">
      <c r="A3" s="9" t="n">
        <v>1</v>
      </c>
      <c r="B3" s="9" t="s">
        <v>53</v>
      </c>
      <c r="C3" s="9" t="s">
        <v>54</v>
      </c>
      <c r="D3" s="15"/>
      <c r="E3" s="11" t="n">
        <v>5450</v>
      </c>
      <c r="F3" s="16" t="n">
        <v>1.02</v>
      </c>
      <c r="G3" s="17" t="n">
        <f aca="false">IF(E3="","",E3*IF(F3="",1,F3))</f>
        <v>5559</v>
      </c>
      <c r="H3" s="9" t="s">
        <v>51</v>
      </c>
      <c r="I3" s="9"/>
      <c r="J3" s="9" t="s">
        <v>55</v>
      </c>
    </row>
    <row r="4" customFormat="false" ht="15" hidden="false" customHeight="false" outlineLevel="0" collapsed="false">
      <c r="A4" s="9" t="n">
        <v>1</v>
      </c>
      <c r="B4" s="9" t="s">
        <v>56</v>
      </c>
      <c r="C4" s="9" t="s">
        <v>57</v>
      </c>
      <c r="D4" s="15"/>
      <c r="E4" s="11" t="n">
        <v>9800</v>
      </c>
      <c r="F4" s="16" t="n">
        <v>1</v>
      </c>
      <c r="G4" s="17" t="n">
        <f aca="false">IF(E4="","",E4*IF(F4="",1,F4))</f>
        <v>9800</v>
      </c>
      <c r="H4" s="9" t="s">
        <v>58</v>
      </c>
      <c r="I4" s="9" t="s">
        <v>59</v>
      </c>
      <c r="J4" s="9" t="s">
        <v>60</v>
      </c>
    </row>
    <row r="5" customFormat="false" ht="15" hidden="false" customHeight="false" outlineLevel="0" collapsed="false">
      <c r="A5" s="12"/>
      <c r="B5" s="12"/>
      <c r="C5" s="12"/>
      <c r="D5" s="18"/>
      <c r="E5" s="14"/>
      <c r="F5" s="19"/>
      <c r="G5" s="17" t="str">
        <f aca="false">IF(E5="","",E5*IF(F5="",1,F5))</f>
        <v/>
      </c>
      <c r="H5" s="12"/>
      <c r="I5" s="12"/>
      <c r="J5" s="12"/>
    </row>
    <row r="6" customFormat="false" ht="15" hidden="false" customHeight="false" outlineLevel="0" collapsed="false">
      <c r="A6" s="12"/>
      <c r="B6" s="12"/>
      <c r="C6" s="12"/>
      <c r="D6" s="18"/>
      <c r="E6" s="14"/>
      <c r="F6" s="19"/>
      <c r="G6" s="17" t="str">
        <f aca="false">IF(E6="","",E6*IF(F6="",1,F6))</f>
        <v/>
      </c>
      <c r="H6" s="12"/>
      <c r="I6" s="12"/>
      <c r="J6" s="12"/>
    </row>
    <row r="7" customFormat="false" ht="15" hidden="false" customHeight="false" outlineLevel="0" collapsed="false">
      <c r="A7" s="12"/>
      <c r="B7" s="12"/>
      <c r="C7" s="12"/>
      <c r="D7" s="18"/>
      <c r="E7" s="14"/>
      <c r="F7" s="19"/>
      <c r="G7" s="17" t="str">
        <f aca="false">IF(E7="","",E7*IF(F7="",1,F7))</f>
        <v/>
      </c>
      <c r="H7" s="12"/>
      <c r="I7" s="12"/>
      <c r="J7" s="12"/>
    </row>
    <row r="8" customFormat="false" ht="15" hidden="false" customHeight="false" outlineLevel="0" collapsed="false">
      <c r="A8" s="12"/>
      <c r="B8" s="12"/>
      <c r="C8" s="12"/>
      <c r="D8" s="18"/>
      <c r="E8" s="14"/>
      <c r="F8" s="19"/>
      <c r="G8" s="17" t="str">
        <f aca="false">IF(E8="","",E8*IF(F8="",1,F8))</f>
        <v/>
      </c>
      <c r="H8" s="12"/>
      <c r="I8" s="12"/>
      <c r="J8" s="12"/>
    </row>
    <row r="9" customFormat="false" ht="15" hidden="false" customHeight="false" outlineLevel="0" collapsed="false">
      <c r="A9" s="12"/>
      <c r="B9" s="12"/>
      <c r="C9" s="12"/>
      <c r="D9" s="18"/>
      <c r="E9" s="14"/>
      <c r="F9" s="19"/>
      <c r="G9" s="17" t="str">
        <f aca="false">IF(E9="","",E9*IF(F9="",1,F9))</f>
        <v/>
      </c>
      <c r="H9" s="12"/>
      <c r="I9" s="12"/>
      <c r="J9" s="12"/>
    </row>
    <row r="10" customFormat="false" ht="15" hidden="false" customHeight="false" outlineLevel="0" collapsed="false">
      <c r="A10" s="12"/>
      <c r="B10" s="12"/>
      <c r="C10" s="12"/>
      <c r="D10" s="18"/>
      <c r="E10" s="14"/>
      <c r="F10" s="19"/>
      <c r="G10" s="17" t="str">
        <f aca="false">IF(E10="","",E10*IF(F10="",1,F10))</f>
        <v/>
      </c>
      <c r="H10" s="12"/>
      <c r="I10" s="12"/>
      <c r="J10" s="12"/>
    </row>
    <row r="11" customFormat="false" ht="15" hidden="false" customHeight="false" outlineLevel="0" collapsed="false">
      <c r="A11" s="12"/>
      <c r="B11" s="12"/>
      <c r="C11" s="12"/>
      <c r="D11" s="18"/>
      <c r="E11" s="14"/>
      <c r="F11" s="19"/>
      <c r="G11" s="17" t="str">
        <f aca="false">IF(E11="","",E11*IF(F11="",1,F11))</f>
        <v/>
      </c>
      <c r="H11" s="12"/>
      <c r="I11" s="12"/>
      <c r="J11" s="12"/>
    </row>
    <row r="12" customFormat="false" ht="15" hidden="false" customHeight="false" outlineLevel="0" collapsed="false">
      <c r="A12" s="12"/>
      <c r="B12" s="12"/>
      <c r="C12" s="12"/>
      <c r="D12" s="18"/>
      <c r="E12" s="14"/>
      <c r="F12" s="19"/>
      <c r="G12" s="17" t="str">
        <f aca="false">IF(E12="","",E12*IF(F12="",1,F12))</f>
        <v/>
      </c>
      <c r="H12" s="12"/>
      <c r="I12" s="12"/>
      <c r="J12" s="12"/>
    </row>
    <row r="13" customFormat="false" ht="15" hidden="false" customHeight="false" outlineLevel="0" collapsed="false">
      <c r="A13" s="12"/>
      <c r="B13" s="12"/>
      <c r="C13" s="12"/>
      <c r="D13" s="18"/>
      <c r="E13" s="14"/>
      <c r="F13" s="19"/>
      <c r="G13" s="17" t="str">
        <f aca="false">IF(E13="","",E13*IF(F13="",1,F13))</f>
        <v/>
      </c>
      <c r="H13" s="12"/>
      <c r="I13" s="12"/>
      <c r="J13" s="12"/>
    </row>
    <row r="14" customFormat="false" ht="15" hidden="false" customHeight="false" outlineLevel="0" collapsed="false">
      <c r="A14" s="12"/>
      <c r="B14" s="12"/>
      <c r="C14" s="12"/>
      <c r="D14" s="18"/>
      <c r="E14" s="14"/>
      <c r="F14" s="19"/>
      <c r="G14" s="17" t="str">
        <f aca="false">IF(E14="","",E14*IF(F14="",1,F14))</f>
        <v/>
      </c>
      <c r="H14" s="12"/>
      <c r="I14" s="12"/>
      <c r="J14" s="12"/>
    </row>
    <row r="15" customFormat="false" ht="15" hidden="false" customHeight="false" outlineLevel="0" collapsed="false">
      <c r="A15" s="12"/>
      <c r="B15" s="12"/>
      <c r="C15" s="12"/>
      <c r="D15" s="18"/>
      <c r="E15" s="14"/>
      <c r="F15" s="19"/>
      <c r="G15" s="17" t="str">
        <f aca="false">IF(E15="","",E15*IF(F15="",1,F15))</f>
        <v/>
      </c>
      <c r="H15" s="12"/>
      <c r="I15" s="12"/>
      <c r="J15" s="12"/>
    </row>
    <row r="16" customFormat="false" ht="15" hidden="false" customHeight="false" outlineLevel="0" collapsed="false">
      <c r="A16" s="12"/>
      <c r="B16" s="12"/>
      <c r="C16" s="12"/>
      <c r="D16" s="18"/>
      <c r="E16" s="14"/>
      <c r="F16" s="19"/>
      <c r="G16" s="17" t="str">
        <f aca="false">IF(E16="","",E16*IF(F16="",1,F16))</f>
        <v/>
      </c>
      <c r="H16" s="12"/>
      <c r="I16" s="12"/>
      <c r="J16" s="12"/>
    </row>
    <row r="17" customFormat="false" ht="15" hidden="false" customHeight="false" outlineLevel="0" collapsed="false">
      <c r="A17" s="12"/>
      <c r="B17" s="12"/>
      <c r="C17" s="12"/>
      <c r="D17" s="18"/>
      <c r="E17" s="14"/>
      <c r="F17" s="19"/>
      <c r="G17" s="17" t="str">
        <f aca="false">IF(E17="","",E17*IF(F17="",1,F17))</f>
        <v/>
      </c>
      <c r="H17" s="12"/>
      <c r="I17" s="12"/>
      <c r="J17" s="12"/>
    </row>
    <row r="18" customFormat="false" ht="15" hidden="false" customHeight="false" outlineLevel="0" collapsed="false">
      <c r="A18" s="12"/>
      <c r="B18" s="12"/>
      <c r="C18" s="12"/>
      <c r="D18" s="18"/>
      <c r="E18" s="14"/>
      <c r="F18" s="19"/>
      <c r="G18" s="17" t="str">
        <f aca="false">IF(E18="","",E18*IF(F18="",1,F18))</f>
        <v/>
      </c>
      <c r="H18" s="12"/>
      <c r="I18" s="12"/>
      <c r="J18" s="12"/>
    </row>
    <row r="19" customFormat="false" ht="15" hidden="false" customHeight="false" outlineLevel="0" collapsed="false">
      <c r="A19" s="12"/>
      <c r="B19" s="12"/>
      <c r="C19" s="12"/>
      <c r="D19" s="18"/>
      <c r="E19" s="14"/>
      <c r="F19" s="19"/>
      <c r="G19" s="17" t="str">
        <f aca="false">IF(E19="","",E19*IF(F19="",1,F19))</f>
        <v/>
      </c>
      <c r="H19" s="12"/>
      <c r="I19" s="12"/>
      <c r="J19" s="12"/>
    </row>
    <row r="20" customFormat="false" ht="15" hidden="false" customHeight="false" outlineLevel="0" collapsed="false">
      <c r="A20" s="12"/>
      <c r="B20" s="12"/>
      <c r="C20" s="12"/>
      <c r="D20" s="18"/>
      <c r="E20" s="14"/>
      <c r="F20" s="19"/>
      <c r="G20" s="17" t="str">
        <f aca="false">IF(E20="","",E20*IF(F20="",1,F20))</f>
        <v/>
      </c>
      <c r="H20" s="12"/>
      <c r="I20" s="12"/>
      <c r="J20" s="12"/>
    </row>
    <row r="21" customFormat="false" ht="15" hidden="false" customHeight="false" outlineLevel="0" collapsed="false">
      <c r="A21" s="12"/>
      <c r="B21" s="12"/>
      <c r="C21" s="12"/>
      <c r="D21" s="18"/>
      <c r="E21" s="14"/>
      <c r="F21" s="19"/>
      <c r="G21" s="17" t="str">
        <f aca="false">IF(E21="","",E21*IF(F21="",1,F21))</f>
        <v/>
      </c>
      <c r="H21" s="12"/>
      <c r="I21" s="12"/>
      <c r="J21" s="12"/>
    </row>
    <row r="22" customFormat="false" ht="15" hidden="false" customHeight="false" outlineLevel="0" collapsed="false">
      <c r="A22" s="12"/>
      <c r="B22" s="12"/>
      <c r="C22" s="12"/>
      <c r="D22" s="18"/>
      <c r="E22" s="14"/>
      <c r="F22" s="19"/>
      <c r="G22" s="17" t="str">
        <f aca="false">IF(E22="","",E22*IF(F22="",1,F22))</f>
        <v/>
      </c>
      <c r="H22" s="12"/>
      <c r="I22" s="12"/>
      <c r="J22" s="12"/>
    </row>
    <row r="23" customFormat="false" ht="15" hidden="false" customHeight="false" outlineLevel="0" collapsed="false">
      <c r="A23" s="12"/>
      <c r="B23" s="12"/>
      <c r="C23" s="12"/>
      <c r="D23" s="18"/>
      <c r="E23" s="14"/>
      <c r="F23" s="19"/>
      <c r="G23" s="17" t="str">
        <f aca="false">IF(E23="","",E23*IF(F23="",1,F23))</f>
        <v/>
      </c>
      <c r="H23" s="12"/>
      <c r="I23" s="12"/>
      <c r="J23" s="12"/>
    </row>
    <row r="24" customFormat="false" ht="15" hidden="false" customHeight="false" outlineLevel="0" collapsed="false">
      <c r="A24" s="12"/>
      <c r="B24" s="12"/>
      <c r="C24" s="12"/>
      <c r="D24" s="18"/>
      <c r="E24" s="14"/>
      <c r="F24" s="19"/>
      <c r="G24" s="17" t="str">
        <f aca="false">IF(E24="","",E24*IF(F24="",1,F24))</f>
        <v/>
      </c>
      <c r="H24" s="12"/>
      <c r="I24" s="12"/>
      <c r="J24" s="12"/>
    </row>
    <row r="25" customFormat="false" ht="15" hidden="false" customHeight="false" outlineLevel="0" collapsed="false">
      <c r="A25" s="12"/>
      <c r="B25" s="12"/>
      <c r="C25" s="12"/>
      <c r="D25" s="18"/>
      <c r="E25" s="14"/>
      <c r="F25" s="19"/>
      <c r="G25" s="17" t="str">
        <f aca="false">IF(E25="","",E25*IF(F25="",1,F25))</f>
        <v/>
      </c>
      <c r="H25" s="12"/>
      <c r="I25" s="12"/>
      <c r="J25" s="12"/>
    </row>
    <row r="26" customFormat="false" ht="15" hidden="false" customHeight="false" outlineLevel="0" collapsed="false">
      <c r="A26" s="12"/>
      <c r="B26" s="12"/>
      <c r="C26" s="12"/>
      <c r="D26" s="18"/>
      <c r="E26" s="14"/>
      <c r="F26" s="19"/>
      <c r="G26" s="17" t="str">
        <f aca="false">IF(E26="","",E26*IF(F26="",1,F26))</f>
        <v/>
      </c>
      <c r="H26" s="12"/>
      <c r="I26" s="12"/>
      <c r="J26" s="12"/>
    </row>
    <row r="27" customFormat="false" ht="15" hidden="false" customHeight="false" outlineLevel="0" collapsed="false">
      <c r="A27" s="12"/>
      <c r="B27" s="12"/>
      <c r="C27" s="12"/>
      <c r="D27" s="18"/>
      <c r="E27" s="14"/>
      <c r="F27" s="19"/>
      <c r="G27" s="17" t="str">
        <f aca="false">IF(E27="","",E27*IF(F27="",1,F27))</f>
        <v/>
      </c>
      <c r="H27" s="12"/>
      <c r="I27" s="12"/>
      <c r="J27" s="12"/>
    </row>
    <row r="28" customFormat="false" ht="15" hidden="false" customHeight="false" outlineLevel="0" collapsed="false">
      <c r="A28" s="12"/>
      <c r="B28" s="12"/>
      <c r="C28" s="12"/>
      <c r="D28" s="18"/>
      <c r="E28" s="14"/>
      <c r="F28" s="19"/>
      <c r="G28" s="17" t="str">
        <f aca="false">IF(E28="","",E28*IF(F28="",1,F28))</f>
        <v/>
      </c>
      <c r="H28" s="12"/>
      <c r="I28" s="12"/>
      <c r="J28" s="12"/>
    </row>
    <row r="29" customFormat="false" ht="15" hidden="false" customHeight="false" outlineLevel="0" collapsed="false">
      <c r="A29" s="12"/>
      <c r="B29" s="12"/>
      <c r="C29" s="12"/>
      <c r="D29" s="18"/>
      <c r="E29" s="14"/>
      <c r="F29" s="19"/>
      <c r="G29" s="17" t="str">
        <f aca="false">IF(E29="","",E29*IF(F29="",1,F29))</f>
        <v/>
      </c>
      <c r="H29" s="12"/>
      <c r="I29" s="12"/>
      <c r="J29" s="12"/>
    </row>
    <row r="30" customFormat="false" ht="15" hidden="false" customHeight="false" outlineLevel="0" collapsed="false">
      <c r="A30" s="12"/>
      <c r="B30" s="12"/>
      <c r="C30" s="12"/>
      <c r="D30" s="18"/>
      <c r="E30" s="14"/>
      <c r="F30" s="19"/>
      <c r="G30" s="17" t="str">
        <f aca="false">IF(E30="","",E30*IF(F30="",1,F30))</f>
        <v/>
      </c>
      <c r="H30" s="12"/>
      <c r="I30" s="12"/>
      <c r="J30" s="12"/>
    </row>
    <row r="31" customFormat="false" ht="15" hidden="false" customHeight="false" outlineLevel="0" collapsed="false">
      <c r="A31" s="12"/>
      <c r="B31" s="12"/>
      <c r="C31" s="12"/>
      <c r="D31" s="18"/>
      <c r="E31" s="14"/>
      <c r="F31" s="19"/>
      <c r="G31" s="17" t="str">
        <f aca="false">IF(E31="","",E31*IF(F31="",1,F31))</f>
        <v/>
      </c>
      <c r="H31" s="12"/>
      <c r="I31" s="12"/>
      <c r="J31" s="12"/>
    </row>
    <row r="32" customFormat="false" ht="15" hidden="false" customHeight="false" outlineLevel="0" collapsed="false">
      <c r="A32" s="12"/>
      <c r="B32" s="12"/>
      <c r="C32" s="12"/>
      <c r="D32" s="18"/>
      <c r="E32" s="14"/>
      <c r="F32" s="19"/>
      <c r="G32" s="17" t="str">
        <f aca="false">IF(E32="","",E32*IF(F32="",1,F32))</f>
        <v/>
      </c>
      <c r="H32" s="12"/>
      <c r="I32" s="12"/>
      <c r="J32" s="12"/>
    </row>
    <row r="33" customFormat="false" ht="15" hidden="false" customHeight="false" outlineLevel="0" collapsed="false">
      <c r="A33" s="12"/>
      <c r="B33" s="12"/>
      <c r="C33" s="12"/>
      <c r="D33" s="18"/>
      <c r="E33" s="14"/>
      <c r="F33" s="19"/>
      <c r="G33" s="17" t="str">
        <f aca="false">IF(E33="","",E33*IF(F33="",1,F33))</f>
        <v/>
      </c>
      <c r="H33" s="12"/>
      <c r="I33" s="12"/>
      <c r="J33" s="12"/>
    </row>
    <row r="34" customFormat="false" ht="15" hidden="false" customHeight="false" outlineLevel="0" collapsed="false">
      <c r="A34" s="12"/>
      <c r="B34" s="12"/>
      <c r="C34" s="12"/>
      <c r="D34" s="18"/>
      <c r="E34" s="14"/>
      <c r="F34" s="19"/>
      <c r="G34" s="17" t="str">
        <f aca="false">IF(E34="","",E34*IF(F34="",1,F34))</f>
        <v/>
      </c>
      <c r="H34" s="12"/>
      <c r="I34" s="12"/>
      <c r="J34" s="12"/>
    </row>
    <row r="35" customFormat="false" ht="15" hidden="false" customHeight="false" outlineLevel="0" collapsed="false">
      <c r="A35" s="12"/>
      <c r="B35" s="12"/>
      <c r="C35" s="12"/>
      <c r="D35" s="18"/>
      <c r="E35" s="14"/>
      <c r="F35" s="19"/>
      <c r="G35" s="17" t="str">
        <f aca="false">IF(E35="","",E35*IF(F35="",1,F35))</f>
        <v/>
      </c>
      <c r="H35" s="12"/>
      <c r="I35" s="12"/>
      <c r="J35" s="12"/>
    </row>
    <row r="36" customFormat="false" ht="15" hidden="false" customHeight="false" outlineLevel="0" collapsed="false">
      <c r="A36" s="12"/>
      <c r="B36" s="12"/>
      <c r="C36" s="12"/>
      <c r="D36" s="18"/>
      <c r="E36" s="14"/>
      <c r="F36" s="19"/>
      <c r="G36" s="17" t="str">
        <f aca="false">IF(E36="","",E36*IF(F36="",1,F36))</f>
        <v/>
      </c>
      <c r="H36" s="12"/>
      <c r="I36" s="12"/>
      <c r="J36" s="12"/>
    </row>
    <row r="37" customFormat="false" ht="15" hidden="false" customHeight="false" outlineLevel="0" collapsed="false">
      <c r="A37" s="12"/>
      <c r="B37" s="12"/>
      <c r="C37" s="12"/>
      <c r="D37" s="18"/>
      <c r="E37" s="14"/>
      <c r="F37" s="19"/>
      <c r="G37" s="17" t="str">
        <f aca="false">IF(E37="","",E37*IF(F37="",1,F37))</f>
        <v/>
      </c>
      <c r="H37" s="12"/>
      <c r="I37" s="12"/>
      <c r="J37" s="12"/>
    </row>
    <row r="38" customFormat="false" ht="15" hidden="false" customHeight="false" outlineLevel="0" collapsed="false">
      <c r="A38" s="12"/>
      <c r="B38" s="12"/>
      <c r="C38" s="12"/>
      <c r="D38" s="18"/>
      <c r="E38" s="14"/>
      <c r="F38" s="19"/>
      <c r="G38" s="17" t="str">
        <f aca="false">IF(E38="","",E38*IF(F38="",1,F38))</f>
        <v/>
      </c>
      <c r="H38" s="12"/>
      <c r="I38" s="12"/>
      <c r="J38" s="12"/>
    </row>
    <row r="39" customFormat="false" ht="15" hidden="false" customHeight="false" outlineLevel="0" collapsed="false">
      <c r="A39" s="12"/>
      <c r="B39" s="12"/>
      <c r="C39" s="12"/>
      <c r="D39" s="18"/>
      <c r="E39" s="14"/>
      <c r="F39" s="19"/>
      <c r="G39" s="17" t="str">
        <f aca="false">IF(E39="","",E39*IF(F39="",1,F39))</f>
        <v/>
      </c>
      <c r="H39" s="12"/>
      <c r="I39" s="12"/>
      <c r="J39" s="12"/>
    </row>
    <row r="40" customFormat="false" ht="15" hidden="false" customHeight="false" outlineLevel="0" collapsed="false">
      <c r="A40" s="12"/>
      <c r="B40" s="12"/>
      <c r="C40" s="12"/>
      <c r="D40" s="18"/>
      <c r="E40" s="14"/>
      <c r="F40" s="19"/>
      <c r="G40" s="17" t="str">
        <f aca="false">IF(E40="","",E40*IF(F40="",1,F40))</f>
        <v/>
      </c>
      <c r="H40" s="12"/>
      <c r="I40" s="12"/>
      <c r="J40" s="12"/>
    </row>
    <row r="41" customFormat="false" ht="15" hidden="false" customHeight="false" outlineLevel="0" collapsed="false">
      <c r="A41" s="12"/>
      <c r="B41" s="12"/>
      <c r="C41" s="12"/>
      <c r="D41" s="18"/>
      <c r="E41" s="14"/>
      <c r="F41" s="19"/>
      <c r="G41" s="17" t="str">
        <f aca="false">IF(E41="","",E41*IF(F41="",1,F41))</f>
        <v/>
      </c>
      <c r="H41" s="12"/>
      <c r="I41" s="12"/>
      <c r="J41" s="12"/>
    </row>
    <row r="42" customFormat="false" ht="15" hidden="false" customHeight="false" outlineLevel="0" collapsed="false">
      <c r="A42" s="12"/>
      <c r="B42" s="12"/>
      <c r="C42" s="12"/>
      <c r="D42" s="18"/>
      <c r="E42" s="14"/>
      <c r="F42" s="19"/>
      <c r="G42" s="17" t="str">
        <f aca="false">IF(E42="","",E42*IF(F42="",1,F42))</f>
        <v/>
      </c>
      <c r="H42" s="12"/>
      <c r="I42" s="12"/>
      <c r="J42" s="12"/>
    </row>
    <row r="43" customFormat="false" ht="15" hidden="false" customHeight="false" outlineLevel="0" collapsed="false">
      <c r="A43" s="12"/>
      <c r="B43" s="12"/>
      <c r="C43" s="12"/>
      <c r="D43" s="18"/>
      <c r="E43" s="14"/>
      <c r="F43" s="19"/>
      <c r="G43" s="17" t="str">
        <f aca="false">IF(E43="","",E43*IF(F43="",1,F43))</f>
        <v/>
      </c>
      <c r="H43" s="12"/>
      <c r="I43" s="12"/>
      <c r="J43" s="12"/>
    </row>
    <row r="44" customFormat="false" ht="15" hidden="false" customHeight="false" outlineLevel="0" collapsed="false">
      <c r="A44" s="12"/>
      <c r="B44" s="12"/>
      <c r="C44" s="12"/>
      <c r="D44" s="18"/>
      <c r="E44" s="14"/>
      <c r="F44" s="19"/>
      <c r="G44" s="17" t="str">
        <f aca="false">IF(E44="","",E44*IF(F44="",1,F44))</f>
        <v/>
      </c>
      <c r="H44" s="12"/>
      <c r="I44" s="12"/>
      <c r="J44" s="12"/>
    </row>
    <row r="45" customFormat="false" ht="15" hidden="false" customHeight="false" outlineLevel="0" collapsed="false">
      <c r="A45" s="12"/>
      <c r="B45" s="12"/>
      <c r="C45" s="12"/>
      <c r="D45" s="18"/>
      <c r="E45" s="14"/>
      <c r="F45" s="19"/>
      <c r="G45" s="17" t="str">
        <f aca="false">IF(E45="","",E45*IF(F45="",1,F45))</f>
        <v/>
      </c>
      <c r="H45" s="12"/>
      <c r="I45" s="12"/>
      <c r="J45" s="12"/>
    </row>
    <row r="46" customFormat="false" ht="15" hidden="false" customHeight="false" outlineLevel="0" collapsed="false">
      <c r="A46" s="12"/>
      <c r="B46" s="12"/>
      <c r="C46" s="12"/>
      <c r="D46" s="18"/>
      <c r="E46" s="14"/>
      <c r="F46" s="19"/>
      <c r="G46" s="17" t="str">
        <f aca="false">IF(E46="","",E46*IF(F46="",1,F46))</f>
        <v/>
      </c>
      <c r="H46" s="12"/>
      <c r="I46" s="12"/>
      <c r="J46" s="12"/>
    </row>
    <row r="47" customFormat="false" ht="15" hidden="false" customHeight="false" outlineLevel="0" collapsed="false">
      <c r="A47" s="12"/>
      <c r="B47" s="12"/>
      <c r="C47" s="12"/>
      <c r="D47" s="18"/>
      <c r="E47" s="14"/>
      <c r="F47" s="19"/>
      <c r="G47" s="17" t="str">
        <f aca="false">IF(E47="","",E47*IF(F47="",1,F47))</f>
        <v/>
      </c>
      <c r="H47" s="12"/>
      <c r="I47" s="12"/>
      <c r="J47" s="12"/>
    </row>
    <row r="48" customFormat="false" ht="15" hidden="false" customHeight="false" outlineLevel="0" collapsed="false">
      <c r="A48" s="12"/>
      <c r="B48" s="12"/>
      <c r="C48" s="12"/>
      <c r="D48" s="18"/>
      <c r="E48" s="14"/>
      <c r="F48" s="19"/>
      <c r="G48" s="17" t="str">
        <f aca="false">IF(E48="","",E48*IF(F48="",1,F48))</f>
        <v/>
      </c>
      <c r="H48" s="12"/>
      <c r="I48" s="12"/>
      <c r="J48" s="12"/>
    </row>
    <row r="49" customFormat="false" ht="15" hidden="false" customHeight="false" outlineLevel="0" collapsed="false">
      <c r="A49" s="12"/>
      <c r="B49" s="12"/>
      <c r="C49" s="12"/>
      <c r="D49" s="18"/>
      <c r="E49" s="14"/>
      <c r="F49" s="19"/>
      <c r="G49" s="17" t="str">
        <f aca="false">IF(E49="","",E49*IF(F49="",1,F49))</f>
        <v/>
      </c>
      <c r="H49" s="12"/>
      <c r="I49" s="12"/>
      <c r="J49" s="12"/>
    </row>
    <row r="50" customFormat="false" ht="15" hidden="false" customHeight="false" outlineLevel="0" collapsed="false">
      <c r="A50" s="12"/>
      <c r="B50" s="12"/>
      <c r="C50" s="12"/>
      <c r="D50" s="18"/>
      <c r="E50" s="14"/>
      <c r="F50" s="19"/>
      <c r="G50" s="17" t="str">
        <f aca="false">IF(E50="","",E50*IF(F50="",1,F50))</f>
        <v/>
      </c>
      <c r="H50" s="12"/>
      <c r="I50" s="12"/>
      <c r="J50" s="12"/>
    </row>
    <row r="51" customFormat="false" ht="15" hidden="false" customHeight="false" outlineLevel="0" collapsed="false">
      <c r="A51" s="12"/>
      <c r="B51" s="12"/>
      <c r="C51" s="12"/>
      <c r="D51" s="18"/>
      <c r="E51" s="14"/>
      <c r="F51" s="19"/>
      <c r="G51" s="17" t="str">
        <f aca="false">IF(E51="","",E51*IF(F51="",1,F51))</f>
        <v/>
      </c>
      <c r="H51" s="12"/>
      <c r="I51" s="12"/>
      <c r="J51" s="12"/>
    </row>
    <row r="52" customFormat="false" ht="15" hidden="false" customHeight="false" outlineLevel="0" collapsed="false">
      <c r="A52" s="12"/>
      <c r="B52" s="12"/>
      <c r="C52" s="12"/>
      <c r="D52" s="18"/>
      <c r="E52" s="14"/>
      <c r="F52" s="19"/>
      <c r="G52" s="17" t="str">
        <f aca="false">IF(E52="","",E52*IF(F52="",1,F52))</f>
        <v/>
      </c>
      <c r="H52" s="12"/>
      <c r="I52" s="12"/>
      <c r="J52" s="12"/>
    </row>
    <row r="53" customFormat="false" ht="15" hidden="false" customHeight="false" outlineLevel="0" collapsed="false">
      <c r="A53" s="12"/>
      <c r="B53" s="12"/>
      <c r="C53" s="12"/>
      <c r="D53" s="18"/>
      <c r="E53" s="14"/>
      <c r="F53" s="19"/>
      <c r="G53" s="17" t="str">
        <f aca="false">IF(E53="","",E53*IF(F53="",1,F53))</f>
        <v/>
      </c>
      <c r="H53" s="12"/>
      <c r="I53" s="12"/>
      <c r="J53" s="12"/>
    </row>
    <row r="54" customFormat="false" ht="15" hidden="false" customHeight="false" outlineLevel="0" collapsed="false">
      <c r="A54" s="12"/>
      <c r="B54" s="12"/>
      <c r="C54" s="12"/>
      <c r="D54" s="18"/>
      <c r="E54" s="14"/>
      <c r="F54" s="19"/>
      <c r="G54" s="17" t="str">
        <f aca="false">IF(E54="","",E54*IF(F54="",1,F54))</f>
        <v/>
      </c>
      <c r="H54" s="12"/>
      <c r="I54" s="12"/>
      <c r="J54" s="12"/>
    </row>
    <row r="55" customFormat="false" ht="15" hidden="false" customHeight="false" outlineLevel="0" collapsed="false">
      <c r="A55" s="12"/>
      <c r="B55" s="12"/>
      <c r="C55" s="12"/>
      <c r="D55" s="18"/>
      <c r="E55" s="14"/>
      <c r="F55" s="19"/>
      <c r="G55" s="17" t="str">
        <f aca="false">IF(E55="","",E55*IF(F55="",1,F55))</f>
        <v/>
      </c>
      <c r="H55" s="12"/>
      <c r="I55" s="12"/>
      <c r="J55" s="12"/>
    </row>
    <row r="56" customFormat="false" ht="15" hidden="false" customHeight="false" outlineLevel="0" collapsed="false">
      <c r="A56" s="12"/>
      <c r="B56" s="12"/>
      <c r="C56" s="12"/>
      <c r="D56" s="18"/>
      <c r="E56" s="14"/>
      <c r="F56" s="19"/>
      <c r="G56" s="17" t="str">
        <f aca="false">IF(E56="","",E56*IF(F56="",1,F56))</f>
        <v/>
      </c>
      <c r="H56" s="12"/>
      <c r="I56" s="12"/>
      <c r="J56" s="12"/>
    </row>
    <row r="57" customFormat="false" ht="15" hidden="false" customHeight="false" outlineLevel="0" collapsed="false">
      <c r="A57" s="12"/>
      <c r="B57" s="12"/>
      <c r="C57" s="12"/>
      <c r="D57" s="18"/>
      <c r="E57" s="14"/>
      <c r="F57" s="19"/>
      <c r="G57" s="17" t="str">
        <f aca="false">IF(E57="","",E57*IF(F57="",1,F57))</f>
        <v/>
      </c>
      <c r="H57" s="12"/>
      <c r="I57" s="12"/>
      <c r="J57" s="12"/>
    </row>
    <row r="58" customFormat="false" ht="15" hidden="false" customHeight="false" outlineLevel="0" collapsed="false">
      <c r="A58" s="12"/>
      <c r="B58" s="12"/>
      <c r="C58" s="12"/>
      <c r="D58" s="18"/>
      <c r="E58" s="14"/>
      <c r="F58" s="19"/>
      <c r="G58" s="17" t="str">
        <f aca="false">IF(E58="","",E58*IF(F58="",1,F58))</f>
        <v/>
      </c>
      <c r="H58" s="12"/>
      <c r="I58" s="12"/>
      <c r="J58" s="12"/>
    </row>
    <row r="59" customFormat="false" ht="15" hidden="false" customHeight="false" outlineLevel="0" collapsed="false">
      <c r="A59" s="12"/>
      <c r="B59" s="12"/>
      <c r="C59" s="12"/>
      <c r="D59" s="18"/>
      <c r="E59" s="14"/>
      <c r="F59" s="19"/>
      <c r="G59" s="17" t="str">
        <f aca="false">IF(E59="","",E59*IF(F59="",1,F59))</f>
        <v/>
      </c>
      <c r="H59" s="12"/>
      <c r="I59" s="12"/>
      <c r="J59" s="12"/>
    </row>
    <row r="60" customFormat="false" ht="15" hidden="false" customHeight="false" outlineLevel="0" collapsed="false">
      <c r="A60" s="12"/>
      <c r="B60" s="12"/>
      <c r="C60" s="12"/>
      <c r="D60" s="18"/>
      <c r="E60" s="14"/>
      <c r="F60" s="19"/>
      <c r="G60" s="17" t="str">
        <f aca="false">IF(E60="","",E60*IF(F60="",1,F60))</f>
        <v/>
      </c>
      <c r="H60" s="12"/>
      <c r="I60" s="12"/>
      <c r="J60" s="12"/>
    </row>
    <row r="61" customFormat="false" ht="15" hidden="false" customHeight="false" outlineLevel="0" collapsed="false">
      <c r="A61" s="12"/>
      <c r="B61" s="12"/>
      <c r="C61" s="12"/>
      <c r="D61" s="18"/>
      <c r="E61" s="14"/>
      <c r="F61" s="19"/>
      <c r="G61" s="17" t="str">
        <f aca="false">IF(E61="","",E61*IF(F61="",1,F61))</f>
        <v/>
      </c>
      <c r="H61" s="12"/>
      <c r="I61" s="12"/>
      <c r="J61" s="12"/>
    </row>
    <row r="62" customFormat="false" ht="15" hidden="false" customHeight="false" outlineLevel="0" collapsed="false">
      <c r="A62" s="12"/>
      <c r="B62" s="12"/>
      <c r="C62" s="12"/>
      <c r="D62" s="18"/>
      <c r="E62" s="14"/>
      <c r="F62" s="19"/>
      <c r="G62" s="17" t="str">
        <f aca="false">IF(E62="","",E62*IF(F62="",1,F62))</f>
        <v/>
      </c>
      <c r="H62" s="12"/>
      <c r="I62" s="12"/>
      <c r="J62" s="12"/>
    </row>
    <row r="63" customFormat="false" ht="15" hidden="false" customHeight="false" outlineLevel="0" collapsed="false">
      <c r="A63" s="12"/>
      <c r="B63" s="12"/>
      <c r="C63" s="12"/>
      <c r="D63" s="18"/>
      <c r="E63" s="14"/>
      <c r="F63" s="19"/>
      <c r="G63" s="17" t="str">
        <f aca="false">IF(E63="","",E63*IF(F63="",1,F63))</f>
        <v/>
      </c>
      <c r="H63" s="12"/>
      <c r="I63" s="12"/>
      <c r="J63" s="12"/>
    </row>
    <row r="64" customFormat="false" ht="15" hidden="false" customHeight="false" outlineLevel="0" collapsed="false">
      <c r="A64" s="12"/>
      <c r="B64" s="12"/>
      <c r="C64" s="12"/>
      <c r="D64" s="18"/>
      <c r="E64" s="14"/>
      <c r="F64" s="19"/>
      <c r="G64" s="17" t="str">
        <f aca="false">IF(E64="","",E64*IF(F64="",1,F64))</f>
        <v/>
      </c>
      <c r="H64" s="12"/>
      <c r="I64" s="12"/>
      <c r="J64" s="12"/>
    </row>
    <row r="65" customFormat="false" ht="15" hidden="false" customHeight="false" outlineLevel="0" collapsed="false">
      <c r="A65" s="12"/>
      <c r="B65" s="12"/>
      <c r="C65" s="12"/>
      <c r="D65" s="18"/>
      <c r="E65" s="14"/>
      <c r="F65" s="19"/>
      <c r="G65" s="17" t="str">
        <f aca="false">IF(E65="","",E65*IF(F65="",1,F65))</f>
        <v/>
      </c>
      <c r="H65" s="12"/>
      <c r="I65" s="12"/>
      <c r="J65" s="12"/>
    </row>
    <row r="66" customFormat="false" ht="15" hidden="false" customHeight="false" outlineLevel="0" collapsed="false">
      <c r="A66" s="12"/>
      <c r="B66" s="12"/>
      <c r="C66" s="12"/>
      <c r="D66" s="18"/>
      <c r="E66" s="14"/>
      <c r="F66" s="19"/>
      <c r="G66" s="17" t="str">
        <f aca="false">IF(E66="","",E66*IF(F66="",1,F66))</f>
        <v/>
      </c>
      <c r="H66" s="12"/>
      <c r="I66" s="12"/>
      <c r="J66" s="12"/>
    </row>
    <row r="67" customFormat="false" ht="15" hidden="false" customHeight="false" outlineLevel="0" collapsed="false">
      <c r="A67" s="12"/>
      <c r="B67" s="12"/>
      <c r="C67" s="12"/>
      <c r="D67" s="18"/>
      <c r="E67" s="14"/>
      <c r="F67" s="19"/>
      <c r="G67" s="17" t="str">
        <f aca="false">IF(E67="","",E67*IF(F67="",1,F67))</f>
        <v/>
      </c>
      <c r="H67" s="12"/>
      <c r="I67" s="12"/>
      <c r="J67" s="12"/>
    </row>
    <row r="68" customFormat="false" ht="15" hidden="false" customHeight="false" outlineLevel="0" collapsed="false">
      <c r="A68" s="12"/>
      <c r="B68" s="12"/>
      <c r="C68" s="12"/>
      <c r="D68" s="18"/>
      <c r="E68" s="14"/>
      <c r="F68" s="19"/>
      <c r="G68" s="17" t="str">
        <f aca="false">IF(E68="","",E68*IF(F68="",1,F68))</f>
        <v/>
      </c>
      <c r="H68" s="12"/>
      <c r="I68" s="12"/>
      <c r="J68" s="12"/>
    </row>
    <row r="69" customFormat="false" ht="15" hidden="false" customHeight="false" outlineLevel="0" collapsed="false">
      <c r="A69" s="12"/>
      <c r="B69" s="12"/>
      <c r="C69" s="12"/>
      <c r="D69" s="18"/>
      <c r="E69" s="14"/>
      <c r="F69" s="19"/>
      <c r="G69" s="17" t="str">
        <f aca="false">IF(E69="","",E69*IF(F69="",1,F69))</f>
        <v/>
      </c>
      <c r="H69" s="12"/>
      <c r="I69" s="12"/>
      <c r="J69" s="12"/>
    </row>
    <row r="70" customFormat="false" ht="15" hidden="false" customHeight="false" outlineLevel="0" collapsed="false">
      <c r="A70" s="12"/>
      <c r="B70" s="12"/>
      <c r="C70" s="12"/>
      <c r="D70" s="18"/>
      <c r="E70" s="14"/>
      <c r="F70" s="19"/>
      <c r="G70" s="17" t="str">
        <f aca="false">IF(E70="","",E70*IF(F70="",1,F70))</f>
        <v/>
      </c>
      <c r="H70" s="12"/>
      <c r="I70" s="12"/>
      <c r="J70" s="12"/>
    </row>
    <row r="71" customFormat="false" ht="15" hidden="false" customHeight="false" outlineLevel="0" collapsed="false">
      <c r="A71" s="12"/>
      <c r="B71" s="12"/>
      <c r="C71" s="12"/>
      <c r="D71" s="18"/>
      <c r="E71" s="14"/>
      <c r="F71" s="19"/>
      <c r="G71" s="17" t="str">
        <f aca="false">IF(E71="","",E71*IF(F71="",1,F71))</f>
        <v/>
      </c>
      <c r="H71" s="12"/>
      <c r="I71" s="12"/>
      <c r="J71" s="12"/>
    </row>
    <row r="72" customFormat="false" ht="15" hidden="false" customHeight="false" outlineLevel="0" collapsed="false">
      <c r="A72" s="12"/>
      <c r="B72" s="12"/>
      <c r="C72" s="12"/>
      <c r="D72" s="18"/>
      <c r="E72" s="14"/>
      <c r="F72" s="19"/>
      <c r="G72" s="17" t="str">
        <f aca="false">IF(E72="","",E72*IF(F72="",1,F72))</f>
        <v/>
      </c>
      <c r="H72" s="12"/>
      <c r="I72" s="12"/>
      <c r="J72" s="12"/>
    </row>
    <row r="73" customFormat="false" ht="15" hidden="false" customHeight="false" outlineLevel="0" collapsed="false">
      <c r="A73" s="12"/>
      <c r="B73" s="12"/>
      <c r="C73" s="12"/>
      <c r="D73" s="18"/>
      <c r="E73" s="14"/>
      <c r="F73" s="19"/>
      <c r="G73" s="17" t="str">
        <f aca="false">IF(E73="","",E73*IF(F73="",1,F73))</f>
        <v/>
      </c>
      <c r="H73" s="12"/>
      <c r="I73" s="12"/>
      <c r="J73" s="12"/>
    </row>
    <row r="74" customFormat="false" ht="15" hidden="false" customHeight="false" outlineLevel="0" collapsed="false">
      <c r="A74" s="12"/>
      <c r="B74" s="12"/>
      <c r="C74" s="12"/>
      <c r="D74" s="18"/>
      <c r="E74" s="14"/>
      <c r="F74" s="19"/>
      <c r="G74" s="17" t="str">
        <f aca="false">IF(E74="","",E74*IF(F74="",1,F74))</f>
        <v/>
      </c>
      <c r="H74" s="12"/>
      <c r="I74" s="12"/>
      <c r="J74" s="12"/>
    </row>
    <row r="75" customFormat="false" ht="15" hidden="false" customHeight="false" outlineLevel="0" collapsed="false">
      <c r="A75" s="12"/>
      <c r="B75" s="12"/>
      <c r="C75" s="12"/>
      <c r="D75" s="18"/>
      <c r="E75" s="14"/>
      <c r="F75" s="19"/>
      <c r="G75" s="17" t="str">
        <f aca="false">IF(E75="","",E75*IF(F75="",1,F75))</f>
        <v/>
      </c>
      <c r="H75" s="12"/>
      <c r="I75" s="12"/>
      <c r="J75" s="12"/>
    </row>
    <row r="76" customFormat="false" ht="15" hidden="false" customHeight="false" outlineLevel="0" collapsed="false">
      <c r="A76" s="12"/>
      <c r="B76" s="12"/>
      <c r="C76" s="12"/>
      <c r="D76" s="18"/>
      <c r="E76" s="14"/>
      <c r="F76" s="19"/>
      <c r="G76" s="17" t="str">
        <f aca="false">IF(E76="","",E76*IF(F76="",1,F76))</f>
        <v/>
      </c>
      <c r="H76" s="12"/>
      <c r="I76" s="12"/>
      <c r="J76" s="12"/>
    </row>
    <row r="77" customFormat="false" ht="15" hidden="false" customHeight="false" outlineLevel="0" collapsed="false">
      <c r="A77" s="12"/>
      <c r="B77" s="12"/>
      <c r="C77" s="12"/>
      <c r="D77" s="18"/>
      <c r="E77" s="14"/>
      <c r="F77" s="19"/>
      <c r="G77" s="17" t="str">
        <f aca="false">IF(E77="","",E77*IF(F77="",1,F77))</f>
        <v/>
      </c>
      <c r="H77" s="12"/>
      <c r="I77" s="12"/>
      <c r="J77" s="12"/>
    </row>
    <row r="78" customFormat="false" ht="15" hidden="false" customHeight="false" outlineLevel="0" collapsed="false">
      <c r="A78" s="12"/>
      <c r="B78" s="12"/>
      <c r="C78" s="12"/>
      <c r="D78" s="18"/>
      <c r="E78" s="14"/>
      <c r="F78" s="19"/>
      <c r="G78" s="17" t="str">
        <f aca="false">IF(E78="","",E78*IF(F78="",1,F78))</f>
        <v/>
      </c>
      <c r="H78" s="12"/>
      <c r="I78" s="12"/>
      <c r="J78" s="12"/>
    </row>
    <row r="79" customFormat="false" ht="15" hidden="false" customHeight="false" outlineLevel="0" collapsed="false">
      <c r="A79" s="12"/>
      <c r="B79" s="12"/>
      <c r="C79" s="12"/>
      <c r="D79" s="18"/>
      <c r="E79" s="14"/>
      <c r="F79" s="19"/>
      <c r="G79" s="17" t="str">
        <f aca="false">IF(E79="","",E79*IF(F79="",1,F79))</f>
        <v/>
      </c>
      <c r="H79" s="12"/>
      <c r="I79" s="12"/>
      <c r="J79" s="12"/>
    </row>
    <row r="80" customFormat="false" ht="15" hidden="false" customHeight="false" outlineLevel="0" collapsed="false">
      <c r="A80" s="12"/>
      <c r="B80" s="12"/>
      <c r="C80" s="12"/>
      <c r="D80" s="18"/>
      <c r="E80" s="14"/>
      <c r="F80" s="19"/>
      <c r="G80" s="17" t="str">
        <f aca="false">IF(E80="","",E80*IF(F80="",1,F80))</f>
        <v/>
      </c>
      <c r="H80" s="12"/>
      <c r="I80" s="12"/>
      <c r="J80" s="12"/>
    </row>
    <row r="81" customFormat="false" ht="15" hidden="false" customHeight="false" outlineLevel="0" collapsed="false">
      <c r="A81" s="12"/>
      <c r="B81" s="12"/>
      <c r="C81" s="12"/>
      <c r="D81" s="18"/>
      <c r="E81" s="14"/>
      <c r="F81" s="19"/>
      <c r="G81" s="17" t="str">
        <f aca="false">IF(E81="","",E81*IF(F81="",1,F81))</f>
        <v/>
      </c>
      <c r="H81" s="12"/>
      <c r="I81" s="12"/>
      <c r="J81" s="12"/>
    </row>
    <row r="82" customFormat="false" ht="15" hidden="false" customHeight="false" outlineLevel="0" collapsed="false">
      <c r="A82" s="12"/>
      <c r="B82" s="12"/>
      <c r="C82" s="12"/>
      <c r="D82" s="18"/>
      <c r="E82" s="14"/>
      <c r="F82" s="19"/>
      <c r="G82" s="17" t="str">
        <f aca="false">IF(E82="","",E82*IF(F82="",1,F82))</f>
        <v/>
      </c>
      <c r="H82" s="12"/>
      <c r="I82" s="12"/>
      <c r="J82" s="12"/>
    </row>
    <row r="83" customFormat="false" ht="15" hidden="false" customHeight="false" outlineLevel="0" collapsed="false">
      <c r="A83" s="12"/>
      <c r="B83" s="12"/>
      <c r="C83" s="12"/>
      <c r="D83" s="18"/>
      <c r="E83" s="14"/>
      <c r="F83" s="19"/>
      <c r="G83" s="17" t="str">
        <f aca="false">IF(E83="","",E83*IF(F83="",1,F83))</f>
        <v/>
      </c>
      <c r="H83" s="12"/>
      <c r="I83" s="12"/>
      <c r="J83" s="12"/>
    </row>
    <row r="84" customFormat="false" ht="15" hidden="false" customHeight="false" outlineLevel="0" collapsed="false">
      <c r="A84" s="12"/>
      <c r="B84" s="12"/>
      <c r="C84" s="12"/>
      <c r="D84" s="18"/>
      <c r="E84" s="14"/>
      <c r="F84" s="19"/>
      <c r="G84" s="17" t="str">
        <f aca="false">IF(E84="","",E84*IF(F84="",1,F84))</f>
        <v/>
      </c>
      <c r="H84" s="12"/>
      <c r="I84" s="12"/>
      <c r="J84" s="12"/>
    </row>
    <row r="85" customFormat="false" ht="15" hidden="false" customHeight="false" outlineLevel="0" collapsed="false">
      <c r="A85" s="12"/>
      <c r="B85" s="12"/>
      <c r="C85" s="12"/>
      <c r="D85" s="18"/>
      <c r="E85" s="14"/>
      <c r="F85" s="19"/>
      <c r="G85" s="17" t="str">
        <f aca="false">IF(E85="","",E85*IF(F85="",1,F85))</f>
        <v/>
      </c>
      <c r="H85" s="12"/>
      <c r="I85" s="12"/>
      <c r="J85" s="12"/>
    </row>
    <row r="86" customFormat="false" ht="15" hidden="false" customHeight="false" outlineLevel="0" collapsed="false">
      <c r="A86" s="12"/>
      <c r="B86" s="12"/>
      <c r="C86" s="12"/>
      <c r="D86" s="18"/>
      <c r="E86" s="14"/>
      <c r="F86" s="19"/>
      <c r="G86" s="17" t="str">
        <f aca="false">IF(E86="","",E86*IF(F86="",1,F86))</f>
        <v/>
      </c>
      <c r="H86" s="12"/>
      <c r="I86" s="12"/>
      <c r="J86" s="12"/>
    </row>
    <row r="87" customFormat="false" ht="15" hidden="false" customHeight="false" outlineLevel="0" collapsed="false">
      <c r="A87" s="12"/>
      <c r="B87" s="12"/>
      <c r="C87" s="12"/>
      <c r="D87" s="18"/>
      <c r="E87" s="14"/>
      <c r="F87" s="19"/>
      <c r="G87" s="17" t="str">
        <f aca="false">IF(E87="","",E87*IF(F87="",1,F87))</f>
        <v/>
      </c>
      <c r="H87" s="12"/>
      <c r="I87" s="12"/>
      <c r="J87" s="12"/>
    </row>
    <row r="88" customFormat="false" ht="15" hidden="false" customHeight="false" outlineLevel="0" collapsed="false">
      <c r="A88" s="12"/>
      <c r="B88" s="12"/>
      <c r="C88" s="12"/>
      <c r="D88" s="18"/>
      <c r="E88" s="14"/>
      <c r="F88" s="19"/>
      <c r="G88" s="17" t="str">
        <f aca="false">IF(E88="","",E88*IF(F88="",1,F88))</f>
        <v/>
      </c>
      <c r="H88" s="12"/>
      <c r="I88" s="12"/>
      <c r="J88" s="12"/>
    </row>
    <row r="89" customFormat="false" ht="15" hidden="false" customHeight="false" outlineLevel="0" collapsed="false">
      <c r="A89" s="12"/>
      <c r="B89" s="12"/>
      <c r="C89" s="12"/>
      <c r="D89" s="18"/>
      <c r="E89" s="14"/>
      <c r="F89" s="19"/>
      <c r="G89" s="17" t="str">
        <f aca="false">IF(E89="","",E89*IF(F89="",1,F89))</f>
        <v/>
      </c>
      <c r="H89" s="12"/>
      <c r="I89" s="12"/>
      <c r="J89" s="12"/>
    </row>
    <row r="90" customFormat="false" ht="15" hidden="false" customHeight="false" outlineLevel="0" collapsed="false">
      <c r="A90" s="12"/>
      <c r="B90" s="12"/>
      <c r="C90" s="12"/>
      <c r="D90" s="18"/>
      <c r="E90" s="14"/>
      <c r="F90" s="19"/>
      <c r="G90" s="17" t="str">
        <f aca="false">IF(E90="","",E90*IF(F90="",1,F90))</f>
        <v/>
      </c>
      <c r="H90" s="12"/>
      <c r="I90" s="12"/>
      <c r="J90" s="12"/>
    </row>
    <row r="91" customFormat="false" ht="15" hidden="false" customHeight="false" outlineLevel="0" collapsed="false">
      <c r="A91" s="12"/>
      <c r="B91" s="12"/>
      <c r="C91" s="12"/>
      <c r="D91" s="18"/>
      <c r="E91" s="14"/>
      <c r="F91" s="19"/>
      <c r="G91" s="17" t="str">
        <f aca="false">IF(E91="","",E91*IF(F91="",1,F91))</f>
        <v/>
      </c>
      <c r="H91" s="12"/>
      <c r="I91" s="12"/>
      <c r="J91" s="12"/>
    </row>
    <row r="92" customFormat="false" ht="15" hidden="false" customHeight="false" outlineLevel="0" collapsed="false">
      <c r="A92" s="12"/>
      <c r="B92" s="12"/>
      <c r="C92" s="12"/>
      <c r="D92" s="18"/>
      <c r="E92" s="14"/>
      <c r="F92" s="19"/>
      <c r="G92" s="17" t="str">
        <f aca="false">IF(E92="","",E92*IF(F92="",1,F92))</f>
        <v/>
      </c>
      <c r="H92" s="12"/>
      <c r="I92" s="12"/>
      <c r="J92" s="12"/>
    </row>
    <row r="93" customFormat="false" ht="15" hidden="false" customHeight="false" outlineLevel="0" collapsed="false">
      <c r="A93" s="12"/>
      <c r="B93" s="12"/>
      <c r="C93" s="12"/>
      <c r="D93" s="18"/>
      <c r="E93" s="14"/>
      <c r="F93" s="19"/>
      <c r="G93" s="17" t="str">
        <f aca="false">IF(E93="","",E93*IF(F93="",1,F93))</f>
        <v/>
      </c>
      <c r="H93" s="12"/>
      <c r="I93" s="12"/>
      <c r="J93" s="12"/>
    </row>
    <row r="94" customFormat="false" ht="15" hidden="false" customHeight="false" outlineLevel="0" collapsed="false">
      <c r="A94" s="12"/>
      <c r="B94" s="12"/>
      <c r="C94" s="12"/>
      <c r="D94" s="18"/>
      <c r="E94" s="14"/>
      <c r="F94" s="19"/>
      <c r="G94" s="17" t="str">
        <f aca="false">IF(E94="","",E94*IF(F94="",1,F94))</f>
        <v/>
      </c>
      <c r="H94" s="12"/>
      <c r="I94" s="12"/>
      <c r="J94" s="12"/>
    </row>
    <row r="95" customFormat="false" ht="15" hidden="false" customHeight="false" outlineLevel="0" collapsed="false">
      <c r="A95" s="12"/>
      <c r="B95" s="12"/>
      <c r="C95" s="12"/>
      <c r="D95" s="18"/>
      <c r="E95" s="14"/>
      <c r="F95" s="19"/>
      <c r="G95" s="17" t="str">
        <f aca="false">IF(E95="","",E95*IF(F95="",1,F95))</f>
        <v/>
      </c>
      <c r="H95" s="12"/>
      <c r="I95" s="12"/>
      <c r="J95" s="12"/>
    </row>
    <row r="96" customFormat="false" ht="15" hidden="false" customHeight="false" outlineLevel="0" collapsed="false">
      <c r="A96" s="12"/>
      <c r="B96" s="12"/>
      <c r="C96" s="12"/>
      <c r="D96" s="18"/>
      <c r="E96" s="14"/>
      <c r="F96" s="19"/>
      <c r="G96" s="17" t="str">
        <f aca="false">IF(E96="","",E96*IF(F96="",1,F96))</f>
        <v/>
      </c>
      <c r="H96" s="12"/>
      <c r="I96" s="12"/>
      <c r="J96" s="12"/>
    </row>
    <row r="97" customFormat="false" ht="15" hidden="false" customHeight="false" outlineLevel="0" collapsed="false">
      <c r="A97" s="12"/>
      <c r="B97" s="12"/>
      <c r="C97" s="12"/>
      <c r="D97" s="18"/>
      <c r="E97" s="14"/>
      <c r="F97" s="19"/>
      <c r="G97" s="17" t="str">
        <f aca="false">IF(E97="","",E97*IF(F97="",1,F97))</f>
        <v/>
      </c>
      <c r="H97" s="12"/>
      <c r="I97" s="12"/>
      <c r="J97" s="12"/>
    </row>
    <row r="98" customFormat="false" ht="15" hidden="false" customHeight="false" outlineLevel="0" collapsed="false">
      <c r="A98" s="12"/>
      <c r="B98" s="12"/>
      <c r="C98" s="12"/>
      <c r="D98" s="18"/>
      <c r="E98" s="14"/>
      <c r="F98" s="19"/>
      <c r="G98" s="17" t="str">
        <f aca="false">IF(E98="","",E98*IF(F98="",1,F98))</f>
        <v/>
      </c>
      <c r="H98" s="12"/>
      <c r="I98" s="12"/>
      <c r="J98" s="12"/>
    </row>
    <row r="99" customFormat="false" ht="15" hidden="false" customHeight="false" outlineLevel="0" collapsed="false">
      <c r="A99" s="12"/>
      <c r="B99" s="12"/>
      <c r="C99" s="12"/>
      <c r="D99" s="18"/>
      <c r="E99" s="14"/>
      <c r="F99" s="19"/>
      <c r="G99" s="17" t="str">
        <f aca="false">IF(E99="","",E99*IF(F99="",1,F99))</f>
        <v/>
      </c>
      <c r="H99" s="12"/>
      <c r="I99" s="12"/>
      <c r="J99" s="12"/>
    </row>
    <row r="100" customFormat="false" ht="15" hidden="false" customHeight="false" outlineLevel="0" collapsed="false">
      <c r="A100" s="12"/>
      <c r="B100" s="12"/>
      <c r="C100" s="12"/>
      <c r="D100" s="18"/>
      <c r="E100" s="14"/>
      <c r="F100" s="19"/>
      <c r="G100" s="17" t="str">
        <f aca="false">IF(E100="","",E100*IF(F100="",1,F100))</f>
        <v/>
      </c>
      <c r="H100" s="12"/>
      <c r="I100" s="12"/>
      <c r="J100" s="12"/>
    </row>
    <row r="101" customFormat="false" ht="15" hidden="false" customHeight="false" outlineLevel="0" collapsed="false">
      <c r="A101" s="12"/>
      <c r="B101" s="12"/>
      <c r="C101" s="12"/>
      <c r="D101" s="18"/>
      <c r="E101" s="14"/>
      <c r="F101" s="19"/>
      <c r="G101" s="17" t="str">
        <f aca="false">IF(E101="","",E101*IF(F101="",1,F101))</f>
        <v/>
      </c>
      <c r="H101" s="12"/>
      <c r="I101" s="12"/>
      <c r="J101" s="12"/>
    </row>
    <row r="102" customFormat="false" ht="15" hidden="false" customHeight="false" outlineLevel="0" collapsed="false">
      <c r="A102" s="12"/>
      <c r="B102" s="12"/>
      <c r="C102" s="12"/>
      <c r="D102" s="18"/>
      <c r="E102" s="14"/>
      <c r="F102" s="19"/>
      <c r="G102" s="17" t="str">
        <f aca="false">IF(E102="","",E102*IF(F102="",1,F102))</f>
        <v/>
      </c>
      <c r="H102" s="12"/>
      <c r="I102" s="12"/>
      <c r="J102" s="12"/>
    </row>
    <row r="103" customFormat="false" ht="15" hidden="false" customHeight="false" outlineLevel="0" collapsed="false">
      <c r="A103" s="12"/>
      <c r="B103" s="12"/>
      <c r="C103" s="12"/>
      <c r="D103" s="18"/>
      <c r="E103" s="14"/>
      <c r="F103" s="19"/>
      <c r="G103" s="17" t="str">
        <f aca="false">IF(E103="","",E103*IF(F103="",1,F103))</f>
        <v/>
      </c>
      <c r="H103" s="12"/>
      <c r="I103" s="12"/>
      <c r="J103" s="12"/>
    </row>
    <row r="104" customFormat="false" ht="15" hidden="false" customHeight="false" outlineLevel="0" collapsed="false">
      <c r="A104" s="12"/>
      <c r="B104" s="12"/>
      <c r="C104" s="12"/>
      <c r="D104" s="18"/>
      <c r="E104" s="14"/>
      <c r="F104" s="19"/>
      <c r="G104" s="17" t="str">
        <f aca="false">IF(E104="","",E104*IF(F104="",1,F104))</f>
        <v/>
      </c>
      <c r="H104" s="12"/>
      <c r="I104" s="12"/>
      <c r="J104" s="12"/>
    </row>
    <row r="105" customFormat="false" ht="15" hidden="false" customHeight="false" outlineLevel="0" collapsed="false">
      <c r="A105" s="12"/>
      <c r="B105" s="12"/>
      <c r="C105" s="12"/>
      <c r="D105" s="18"/>
      <c r="E105" s="14"/>
      <c r="F105" s="19"/>
      <c r="G105" s="17" t="str">
        <f aca="false">IF(E105="","",E105*IF(F105="",1,F105))</f>
        <v/>
      </c>
      <c r="H105" s="12"/>
      <c r="I105" s="12"/>
      <c r="J105" s="12"/>
    </row>
    <row r="106" customFormat="false" ht="15" hidden="false" customHeight="false" outlineLevel="0" collapsed="false">
      <c r="A106" s="12"/>
      <c r="B106" s="12"/>
      <c r="C106" s="12"/>
      <c r="D106" s="18"/>
      <c r="E106" s="14"/>
      <c r="F106" s="19"/>
      <c r="G106" s="17" t="str">
        <f aca="false">IF(E106="","",E106*IF(F106="",1,F106))</f>
        <v/>
      </c>
      <c r="H106" s="12"/>
      <c r="I106" s="12"/>
      <c r="J106" s="12"/>
    </row>
    <row r="107" customFormat="false" ht="15" hidden="false" customHeight="false" outlineLevel="0" collapsed="false">
      <c r="A107" s="12"/>
      <c r="B107" s="12"/>
      <c r="C107" s="12"/>
      <c r="D107" s="18"/>
      <c r="E107" s="14"/>
      <c r="F107" s="19"/>
      <c r="G107" s="17" t="str">
        <f aca="false">IF(E107="","",E107*IF(F107="",1,F107))</f>
        <v/>
      </c>
      <c r="H107" s="12"/>
      <c r="I107" s="12"/>
      <c r="J107" s="12"/>
    </row>
    <row r="108" customFormat="false" ht="15" hidden="false" customHeight="false" outlineLevel="0" collapsed="false">
      <c r="A108" s="12"/>
      <c r="B108" s="12"/>
      <c r="C108" s="12"/>
      <c r="D108" s="18"/>
      <c r="E108" s="14"/>
      <c r="F108" s="19"/>
      <c r="G108" s="17" t="str">
        <f aca="false">IF(E108="","",E108*IF(F108="",1,F108))</f>
        <v/>
      </c>
      <c r="H108" s="12"/>
      <c r="I108" s="12"/>
      <c r="J108" s="12"/>
    </row>
    <row r="109" customFormat="false" ht="15" hidden="false" customHeight="false" outlineLevel="0" collapsed="false">
      <c r="A109" s="12"/>
      <c r="B109" s="12"/>
      <c r="C109" s="12"/>
      <c r="D109" s="18"/>
      <c r="E109" s="14"/>
      <c r="F109" s="19"/>
      <c r="G109" s="17" t="str">
        <f aca="false">IF(E109="","",E109*IF(F109="",1,F109))</f>
        <v/>
      </c>
      <c r="H109" s="12"/>
      <c r="I109" s="12"/>
      <c r="J109" s="12"/>
    </row>
    <row r="110" customFormat="false" ht="15" hidden="false" customHeight="false" outlineLevel="0" collapsed="false">
      <c r="A110" s="12"/>
      <c r="B110" s="12"/>
      <c r="C110" s="12"/>
      <c r="D110" s="18"/>
      <c r="E110" s="14"/>
      <c r="F110" s="19"/>
      <c r="G110" s="17" t="str">
        <f aca="false">IF(E110="","",E110*IF(F110="",1,F110))</f>
        <v/>
      </c>
      <c r="H110" s="12"/>
      <c r="I110" s="12"/>
      <c r="J110" s="12"/>
    </row>
    <row r="111" customFormat="false" ht="15" hidden="false" customHeight="false" outlineLevel="0" collapsed="false">
      <c r="A111" s="12"/>
      <c r="B111" s="12"/>
      <c r="C111" s="12"/>
      <c r="D111" s="18"/>
      <c r="E111" s="14"/>
      <c r="F111" s="19"/>
      <c r="G111" s="17" t="str">
        <f aca="false">IF(E111="","",E111*IF(F111="",1,F111))</f>
        <v/>
      </c>
      <c r="H111" s="12"/>
      <c r="I111" s="12"/>
      <c r="J111" s="12"/>
    </row>
    <row r="112" customFormat="false" ht="15" hidden="false" customHeight="false" outlineLevel="0" collapsed="false">
      <c r="A112" s="12"/>
      <c r="B112" s="12"/>
      <c r="C112" s="12"/>
      <c r="D112" s="18"/>
      <c r="E112" s="14"/>
      <c r="F112" s="19"/>
      <c r="G112" s="17" t="str">
        <f aca="false">IF(E112="","",E112*IF(F112="",1,F112))</f>
        <v/>
      </c>
      <c r="H112" s="12"/>
      <c r="I112" s="12"/>
      <c r="J112" s="12"/>
    </row>
    <row r="113" customFormat="false" ht="15" hidden="false" customHeight="false" outlineLevel="0" collapsed="false">
      <c r="A113" s="12"/>
      <c r="B113" s="12"/>
      <c r="C113" s="12"/>
      <c r="D113" s="18"/>
      <c r="E113" s="14"/>
      <c r="F113" s="19"/>
      <c r="G113" s="17" t="str">
        <f aca="false">IF(E113="","",E113*IF(F113="",1,F113))</f>
        <v/>
      </c>
      <c r="H113" s="12"/>
      <c r="I113" s="12"/>
      <c r="J113" s="12"/>
    </row>
    <row r="114" customFormat="false" ht="15" hidden="false" customHeight="false" outlineLevel="0" collapsed="false">
      <c r="A114" s="12"/>
      <c r="B114" s="12"/>
      <c r="C114" s="12"/>
      <c r="D114" s="18"/>
      <c r="E114" s="14"/>
      <c r="F114" s="19"/>
      <c r="G114" s="17" t="str">
        <f aca="false">IF(E114="","",E114*IF(F114="",1,F114))</f>
        <v/>
      </c>
      <c r="H114" s="12"/>
      <c r="I114" s="12"/>
      <c r="J114" s="12"/>
    </row>
    <row r="115" customFormat="false" ht="15" hidden="false" customHeight="false" outlineLevel="0" collapsed="false">
      <c r="A115" s="12"/>
      <c r="B115" s="12"/>
      <c r="C115" s="12"/>
      <c r="D115" s="18"/>
      <c r="E115" s="14"/>
      <c r="F115" s="19"/>
      <c r="G115" s="17" t="str">
        <f aca="false">IF(E115="","",E115*IF(F115="",1,F115))</f>
        <v/>
      </c>
      <c r="H115" s="12"/>
      <c r="I115" s="12"/>
      <c r="J115" s="12"/>
    </row>
    <row r="116" customFormat="false" ht="15" hidden="false" customHeight="false" outlineLevel="0" collapsed="false">
      <c r="A116" s="12"/>
      <c r="B116" s="12"/>
      <c r="C116" s="12"/>
      <c r="D116" s="18"/>
      <c r="E116" s="14"/>
      <c r="F116" s="19"/>
      <c r="G116" s="17" t="str">
        <f aca="false">IF(E116="","",E116*IF(F116="",1,F116))</f>
        <v/>
      </c>
      <c r="H116" s="12"/>
      <c r="I116" s="12"/>
      <c r="J116" s="12"/>
    </row>
    <row r="117" customFormat="false" ht="15" hidden="false" customHeight="false" outlineLevel="0" collapsed="false">
      <c r="A117" s="12"/>
      <c r="B117" s="12"/>
      <c r="C117" s="12"/>
      <c r="D117" s="18"/>
      <c r="E117" s="14"/>
      <c r="F117" s="19"/>
      <c r="G117" s="17" t="str">
        <f aca="false">IF(E117="","",E117*IF(F117="",1,F117))</f>
        <v/>
      </c>
      <c r="H117" s="12"/>
      <c r="I117" s="12"/>
      <c r="J117" s="12"/>
    </row>
    <row r="118" customFormat="false" ht="15" hidden="false" customHeight="false" outlineLevel="0" collapsed="false">
      <c r="A118" s="12"/>
      <c r="B118" s="12"/>
      <c r="C118" s="12"/>
      <c r="D118" s="18"/>
      <c r="E118" s="14"/>
      <c r="F118" s="19"/>
      <c r="G118" s="17" t="str">
        <f aca="false">IF(E118="","",E118*IF(F118="",1,F118))</f>
        <v/>
      </c>
      <c r="H118" s="12"/>
      <c r="I118" s="12"/>
      <c r="J118" s="12"/>
    </row>
    <row r="119" customFormat="false" ht="15" hidden="false" customHeight="false" outlineLevel="0" collapsed="false">
      <c r="A119" s="12"/>
      <c r="B119" s="12"/>
      <c r="C119" s="12"/>
      <c r="D119" s="18"/>
      <c r="E119" s="14"/>
      <c r="F119" s="19"/>
      <c r="G119" s="17" t="str">
        <f aca="false">IF(E119="","",E119*IF(F119="",1,F119))</f>
        <v/>
      </c>
      <c r="H119" s="12"/>
      <c r="I119" s="12"/>
      <c r="J119" s="12"/>
    </row>
    <row r="120" customFormat="false" ht="15" hidden="false" customHeight="false" outlineLevel="0" collapsed="false">
      <c r="A120" s="12"/>
      <c r="B120" s="12"/>
      <c r="C120" s="12"/>
      <c r="D120" s="18"/>
      <c r="E120" s="14"/>
      <c r="F120" s="19"/>
      <c r="G120" s="17" t="str">
        <f aca="false">IF(E120="","",E120*IF(F120="",1,F120))</f>
        <v/>
      </c>
      <c r="H120" s="12"/>
      <c r="I120" s="12"/>
      <c r="J120" s="12"/>
    </row>
    <row r="121" customFormat="false" ht="15" hidden="false" customHeight="false" outlineLevel="0" collapsed="false">
      <c r="A121" s="12"/>
      <c r="B121" s="12"/>
      <c r="C121" s="12"/>
      <c r="D121" s="18"/>
      <c r="E121" s="14"/>
      <c r="F121" s="19"/>
      <c r="G121" s="17" t="str">
        <f aca="false">IF(E121="","",E121*IF(F121="",1,F121))</f>
        <v/>
      </c>
      <c r="H121" s="12"/>
      <c r="I121" s="12"/>
      <c r="J121" s="12"/>
    </row>
    <row r="122" customFormat="false" ht="15" hidden="false" customHeight="false" outlineLevel="0" collapsed="false">
      <c r="A122" s="12"/>
      <c r="B122" s="12"/>
      <c r="C122" s="12"/>
      <c r="D122" s="18"/>
      <c r="E122" s="14"/>
      <c r="F122" s="19"/>
      <c r="G122" s="17" t="str">
        <f aca="false">IF(E122="","",E122*IF(F122="",1,F122))</f>
        <v/>
      </c>
      <c r="H122" s="12"/>
      <c r="I122" s="12"/>
      <c r="J122" s="12"/>
    </row>
    <row r="123" customFormat="false" ht="15" hidden="false" customHeight="false" outlineLevel="0" collapsed="false">
      <c r="A123" s="12"/>
      <c r="B123" s="12"/>
      <c r="C123" s="12"/>
      <c r="D123" s="18"/>
      <c r="E123" s="14"/>
      <c r="F123" s="19"/>
      <c r="G123" s="17" t="str">
        <f aca="false">IF(E123="","",E123*IF(F123="",1,F123))</f>
        <v/>
      </c>
      <c r="H123" s="12"/>
      <c r="I123" s="12"/>
      <c r="J123" s="12"/>
    </row>
    <row r="124" customFormat="false" ht="15" hidden="false" customHeight="false" outlineLevel="0" collapsed="false">
      <c r="A124" s="12"/>
      <c r="B124" s="12"/>
      <c r="C124" s="12"/>
      <c r="D124" s="18"/>
      <c r="E124" s="14"/>
      <c r="F124" s="19"/>
      <c r="G124" s="17" t="str">
        <f aca="false">IF(E124="","",E124*IF(F124="",1,F124))</f>
        <v/>
      </c>
      <c r="H124" s="12"/>
      <c r="I124" s="12"/>
      <c r="J124" s="12"/>
    </row>
    <row r="125" customFormat="false" ht="15" hidden="false" customHeight="false" outlineLevel="0" collapsed="false">
      <c r="A125" s="12"/>
      <c r="B125" s="12"/>
      <c r="C125" s="12"/>
      <c r="D125" s="18"/>
      <c r="E125" s="14"/>
      <c r="F125" s="19"/>
      <c r="G125" s="17" t="str">
        <f aca="false">IF(E125="","",E125*IF(F125="",1,F125))</f>
        <v/>
      </c>
      <c r="H125" s="12"/>
      <c r="I125" s="12"/>
      <c r="J125" s="12"/>
    </row>
    <row r="126" customFormat="false" ht="15" hidden="false" customHeight="false" outlineLevel="0" collapsed="false">
      <c r="A126" s="12"/>
      <c r="B126" s="12"/>
      <c r="C126" s="12"/>
      <c r="D126" s="18"/>
      <c r="E126" s="14"/>
      <c r="F126" s="19"/>
      <c r="G126" s="17" t="str">
        <f aca="false">IF(E126="","",E126*IF(F126="",1,F126))</f>
        <v/>
      </c>
      <c r="H126" s="12"/>
      <c r="I126" s="12"/>
      <c r="J126" s="12"/>
    </row>
    <row r="127" customFormat="false" ht="15" hidden="false" customHeight="false" outlineLevel="0" collapsed="false">
      <c r="A127" s="12"/>
      <c r="B127" s="12"/>
      <c r="C127" s="12"/>
      <c r="D127" s="18"/>
      <c r="E127" s="14"/>
      <c r="F127" s="19"/>
      <c r="G127" s="17" t="str">
        <f aca="false">IF(E127="","",E127*IF(F127="",1,F127))</f>
        <v/>
      </c>
      <c r="H127" s="12"/>
      <c r="I127" s="12"/>
      <c r="J127" s="12"/>
    </row>
    <row r="128" customFormat="false" ht="15" hidden="false" customHeight="false" outlineLevel="0" collapsed="false">
      <c r="A128" s="12"/>
      <c r="B128" s="12"/>
      <c r="C128" s="12"/>
      <c r="D128" s="18"/>
      <c r="E128" s="14"/>
      <c r="F128" s="19"/>
      <c r="G128" s="17" t="str">
        <f aca="false">IF(E128="","",E128*IF(F128="",1,F128))</f>
        <v/>
      </c>
      <c r="H128" s="12"/>
      <c r="I128" s="12"/>
      <c r="J128" s="12"/>
    </row>
    <row r="129" customFormat="false" ht="15" hidden="false" customHeight="false" outlineLevel="0" collapsed="false">
      <c r="A129" s="12"/>
      <c r="B129" s="12"/>
      <c r="C129" s="12"/>
      <c r="D129" s="18"/>
      <c r="E129" s="14"/>
      <c r="F129" s="19"/>
      <c r="G129" s="17" t="str">
        <f aca="false">IF(E129="","",E129*IF(F129="",1,F129))</f>
        <v/>
      </c>
      <c r="H129" s="12"/>
      <c r="I129" s="12"/>
      <c r="J129" s="12"/>
    </row>
    <row r="130" customFormat="false" ht="15" hidden="false" customHeight="false" outlineLevel="0" collapsed="false">
      <c r="A130" s="12"/>
      <c r="B130" s="12"/>
      <c r="C130" s="12"/>
      <c r="D130" s="18"/>
      <c r="E130" s="14"/>
      <c r="F130" s="19"/>
      <c r="G130" s="17" t="str">
        <f aca="false">IF(E130="","",E130*IF(F130="",1,F130))</f>
        <v/>
      </c>
      <c r="H130" s="12"/>
      <c r="I130" s="12"/>
      <c r="J130" s="12"/>
    </row>
    <row r="131" customFormat="false" ht="15" hidden="false" customHeight="false" outlineLevel="0" collapsed="false">
      <c r="A131" s="12"/>
      <c r="B131" s="12"/>
      <c r="C131" s="12"/>
      <c r="D131" s="18"/>
      <c r="E131" s="14"/>
      <c r="F131" s="19"/>
      <c r="G131" s="17" t="str">
        <f aca="false">IF(E131="","",E131*IF(F131="",1,F131))</f>
        <v/>
      </c>
      <c r="H131" s="12"/>
      <c r="I131" s="12"/>
      <c r="J131" s="12"/>
    </row>
    <row r="132" customFormat="false" ht="15" hidden="false" customHeight="false" outlineLevel="0" collapsed="false">
      <c r="A132" s="12"/>
      <c r="B132" s="12"/>
      <c r="C132" s="12"/>
      <c r="D132" s="18"/>
      <c r="E132" s="14"/>
      <c r="F132" s="19"/>
      <c r="G132" s="17" t="str">
        <f aca="false">IF(E132="","",E132*IF(F132="",1,F132))</f>
        <v/>
      </c>
      <c r="H132" s="12"/>
      <c r="I132" s="12"/>
      <c r="J132" s="12"/>
    </row>
    <row r="133" customFormat="false" ht="15" hidden="false" customHeight="false" outlineLevel="0" collapsed="false">
      <c r="A133" s="12"/>
      <c r="B133" s="12"/>
      <c r="C133" s="12"/>
      <c r="D133" s="18"/>
      <c r="E133" s="14"/>
      <c r="F133" s="19"/>
      <c r="G133" s="17" t="str">
        <f aca="false">IF(E133="","",E133*IF(F133="",1,F133))</f>
        <v/>
      </c>
      <c r="H133" s="12"/>
      <c r="I133" s="12"/>
      <c r="J133" s="12"/>
    </row>
    <row r="134" customFormat="false" ht="15" hidden="false" customHeight="false" outlineLevel="0" collapsed="false">
      <c r="A134" s="12"/>
      <c r="B134" s="12"/>
      <c r="C134" s="12"/>
      <c r="D134" s="18"/>
      <c r="E134" s="14"/>
      <c r="F134" s="19"/>
      <c r="G134" s="17" t="str">
        <f aca="false">IF(E134="","",E134*IF(F134="",1,F134))</f>
        <v/>
      </c>
      <c r="H134" s="12"/>
      <c r="I134" s="12"/>
      <c r="J134" s="12"/>
    </row>
    <row r="135" customFormat="false" ht="15" hidden="false" customHeight="false" outlineLevel="0" collapsed="false">
      <c r="A135" s="12"/>
      <c r="B135" s="12"/>
      <c r="C135" s="12"/>
      <c r="D135" s="18"/>
      <c r="E135" s="14"/>
      <c r="F135" s="19"/>
      <c r="G135" s="17" t="str">
        <f aca="false">IF(E135="","",E135*IF(F135="",1,F135))</f>
        <v/>
      </c>
      <c r="H135" s="12"/>
      <c r="I135" s="12"/>
      <c r="J135" s="12"/>
    </row>
    <row r="136" customFormat="false" ht="15" hidden="false" customHeight="false" outlineLevel="0" collapsed="false">
      <c r="A136" s="12"/>
      <c r="B136" s="12"/>
      <c r="C136" s="12"/>
      <c r="D136" s="18"/>
      <c r="E136" s="14"/>
      <c r="F136" s="19"/>
      <c r="G136" s="17" t="str">
        <f aca="false">IF(E136="","",E136*IF(F136="",1,F136))</f>
        <v/>
      </c>
      <c r="H136" s="12"/>
      <c r="I136" s="12"/>
      <c r="J136" s="12"/>
    </row>
    <row r="137" customFormat="false" ht="15" hidden="false" customHeight="false" outlineLevel="0" collapsed="false">
      <c r="A137" s="12"/>
      <c r="B137" s="12"/>
      <c r="C137" s="12"/>
      <c r="D137" s="18"/>
      <c r="E137" s="14"/>
      <c r="F137" s="19"/>
      <c r="G137" s="17" t="str">
        <f aca="false">IF(E137="","",E137*IF(F137="",1,F137))</f>
        <v/>
      </c>
      <c r="H137" s="12"/>
      <c r="I137" s="12"/>
      <c r="J137" s="12"/>
    </row>
    <row r="138" customFormat="false" ht="15" hidden="false" customHeight="false" outlineLevel="0" collapsed="false">
      <c r="A138" s="12"/>
      <c r="B138" s="12"/>
      <c r="C138" s="12"/>
      <c r="D138" s="18"/>
      <c r="E138" s="14"/>
      <c r="F138" s="19"/>
      <c r="G138" s="17" t="str">
        <f aca="false">IF(E138="","",E138*IF(F138="",1,F138))</f>
        <v/>
      </c>
      <c r="H138" s="12"/>
      <c r="I138" s="12"/>
      <c r="J138" s="12"/>
    </row>
    <row r="139" customFormat="false" ht="15" hidden="false" customHeight="false" outlineLevel="0" collapsed="false">
      <c r="A139" s="12"/>
      <c r="B139" s="12"/>
      <c r="C139" s="12"/>
      <c r="D139" s="18"/>
      <c r="E139" s="14"/>
      <c r="F139" s="19"/>
      <c r="G139" s="17" t="str">
        <f aca="false">IF(E139="","",E139*IF(F139="",1,F139))</f>
        <v/>
      </c>
      <c r="H139" s="12"/>
      <c r="I139" s="12"/>
      <c r="J139" s="12"/>
    </row>
    <row r="140" customFormat="false" ht="15" hidden="false" customHeight="false" outlineLevel="0" collapsed="false">
      <c r="A140" s="12"/>
      <c r="B140" s="12"/>
      <c r="C140" s="12"/>
      <c r="D140" s="18"/>
      <c r="E140" s="14"/>
      <c r="F140" s="19"/>
      <c r="G140" s="17" t="str">
        <f aca="false">IF(E140="","",E140*IF(F140="",1,F140))</f>
        <v/>
      </c>
      <c r="H140" s="12"/>
      <c r="I140" s="12"/>
      <c r="J140" s="12"/>
    </row>
    <row r="141" customFormat="false" ht="15" hidden="false" customHeight="false" outlineLevel="0" collapsed="false">
      <c r="A141" s="12"/>
      <c r="B141" s="12"/>
      <c r="C141" s="12"/>
      <c r="D141" s="18"/>
      <c r="E141" s="14"/>
      <c r="F141" s="19"/>
      <c r="G141" s="17" t="str">
        <f aca="false">IF(E141="","",E141*IF(F141="",1,F141))</f>
        <v/>
      </c>
      <c r="H141" s="12"/>
      <c r="I141" s="12"/>
      <c r="J141" s="12"/>
    </row>
    <row r="142" customFormat="false" ht="15" hidden="false" customHeight="false" outlineLevel="0" collapsed="false">
      <c r="A142" s="12"/>
      <c r="B142" s="12"/>
      <c r="C142" s="12"/>
      <c r="D142" s="18"/>
      <c r="E142" s="14"/>
      <c r="F142" s="19"/>
      <c r="G142" s="17" t="str">
        <f aca="false">IF(E142="","",E142*IF(F142="",1,F142))</f>
        <v/>
      </c>
      <c r="H142" s="12"/>
      <c r="I142" s="12"/>
      <c r="J142" s="12"/>
    </row>
    <row r="143" customFormat="false" ht="15" hidden="false" customHeight="false" outlineLevel="0" collapsed="false">
      <c r="A143" s="12"/>
      <c r="B143" s="12"/>
      <c r="C143" s="12"/>
      <c r="D143" s="18"/>
      <c r="E143" s="14"/>
      <c r="F143" s="19"/>
      <c r="G143" s="17" t="str">
        <f aca="false">IF(E143="","",E143*IF(F143="",1,F143))</f>
        <v/>
      </c>
      <c r="H143" s="12"/>
      <c r="I143" s="12"/>
      <c r="J143" s="12"/>
    </row>
    <row r="144" customFormat="false" ht="15" hidden="false" customHeight="false" outlineLevel="0" collapsed="false">
      <c r="A144" s="12"/>
      <c r="B144" s="12"/>
      <c r="C144" s="12"/>
      <c r="D144" s="18"/>
      <c r="E144" s="14"/>
      <c r="F144" s="19"/>
      <c r="G144" s="17" t="str">
        <f aca="false">IF(E144="","",E144*IF(F144="",1,F144))</f>
        <v/>
      </c>
      <c r="H144" s="12"/>
      <c r="I144" s="12"/>
      <c r="J144" s="12"/>
    </row>
    <row r="145" customFormat="false" ht="15" hidden="false" customHeight="false" outlineLevel="0" collapsed="false">
      <c r="A145" s="12"/>
      <c r="B145" s="12"/>
      <c r="C145" s="12"/>
      <c r="D145" s="18"/>
      <c r="E145" s="14"/>
      <c r="F145" s="19"/>
      <c r="G145" s="17" t="str">
        <f aca="false">IF(E145="","",E145*IF(F145="",1,F145))</f>
        <v/>
      </c>
      <c r="H145" s="12"/>
      <c r="I145" s="12"/>
      <c r="J145" s="12"/>
    </row>
    <row r="146" customFormat="false" ht="15" hidden="false" customHeight="false" outlineLevel="0" collapsed="false">
      <c r="A146" s="12"/>
      <c r="B146" s="12"/>
      <c r="C146" s="12"/>
      <c r="D146" s="18"/>
      <c r="E146" s="14"/>
      <c r="F146" s="19"/>
      <c r="G146" s="17" t="str">
        <f aca="false">IF(E146="","",E146*IF(F146="",1,F146))</f>
        <v/>
      </c>
      <c r="H146" s="12"/>
      <c r="I146" s="12"/>
      <c r="J146" s="12"/>
    </row>
    <row r="147" customFormat="false" ht="15" hidden="false" customHeight="false" outlineLevel="0" collapsed="false">
      <c r="A147" s="12"/>
      <c r="B147" s="12"/>
      <c r="C147" s="12"/>
      <c r="D147" s="18"/>
      <c r="E147" s="14"/>
      <c r="F147" s="19"/>
      <c r="G147" s="17" t="str">
        <f aca="false">IF(E147="","",E147*IF(F147="",1,F147))</f>
        <v/>
      </c>
      <c r="H147" s="12"/>
      <c r="I147" s="12"/>
      <c r="J147" s="12"/>
    </row>
    <row r="148" customFormat="false" ht="15" hidden="false" customHeight="false" outlineLevel="0" collapsed="false">
      <c r="A148" s="12"/>
      <c r="B148" s="12"/>
      <c r="C148" s="12"/>
      <c r="D148" s="18"/>
      <c r="E148" s="14"/>
      <c r="F148" s="19"/>
      <c r="G148" s="17" t="str">
        <f aca="false">IF(E148="","",E148*IF(F148="",1,F148))</f>
        <v/>
      </c>
      <c r="H148" s="12"/>
      <c r="I148" s="12"/>
      <c r="J148" s="12"/>
    </row>
    <row r="149" customFormat="false" ht="15" hidden="false" customHeight="false" outlineLevel="0" collapsed="false">
      <c r="A149" s="12"/>
      <c r="B149" s="12"/>
      <c r="C149" s="12"/>
      <c r="D149" s="18"/>
      <c r="E149" s="14"/>
      <c r="F149" s="19"/>
      <c r="G149" s="17" t="str">
        <f aca="false">IF(E149="","",E149*IF(F149="",1,F149))</f>
        <v/>
      </c>
      <c r="H149" s="12"/>
      <c r="I149" s="12"/>
      <c r="J149" s="12"/>
    </row>
    <row r="150" customFormat="false" ht="15" hidden="false" customHeight="false" outlineLevel="0" collapsed="false">
      <c r="A150" s="12"/>
      <c r="B150" s="12"/>
      <c r="C150" s="12"/>
      <c r="D150" s="18"/>
      <c r="E150" s="14"/>
      <c r="F150" s="19"/>
      <c r="G150" s="17" t="str">
        <f aca="false">IF(E150="","",E150*IF(F150="",1,F150))</f>
        <v/>
      </c>
      <c r="H150" s="12"/>
      <c r="I150" s="12"/>
      <c r="J150" s="12"/>
    </row>
    <row r="151" customFormat="false" ht="15" hidden="false" customHeight="false" outlineLevel="0" collapsed="false">
      <c r="A151" s="12"/>
      <c r="B151" s="12"/>
      <c r="C151" s="12"/>
      <c r="D151" s="18"/>
      <c r="E151" s="14"/>
      <c r="F151" s="19"/>
      <c r="G151" s="17" t="str">
        <f aca="false">IF(E151="","",E151*IF(F151="",1,F151))</f>
        <v/>
      </c>
      <c r="H151" s="12"/>
      <c r="I151" s="12"/>
      <c r="J151" s="12"/>
    </row>
    <row r="152" customFormat="false" ht="15" hidden="false" customHeight="false" outlineLevel="0" collapsed="false">
      <c r="A152" s="12"/>
      <c r="B152" s="12"/>
      <c r="C152" s="12"/>
      <c r="D152" s="18"/>
      <c r="E152" s="14"/>
      <c r="F152" s="19"/>
      <c r="G152" s="17" t="str">
        <f aca="false">IF(E152="","",E152*IF(F152="",1,F152))</f>
        <v/>
      </c>
      <c r="H152" s="12"/>
      <c r="I152" s="12"/>
      <c r="J152" s="12"/>
    </row>
    <row r="153" customFormat="false" ht="15" hidden="false" customHeight="false" outlineLevel="0" collapsed="false">
      <c r="A153" s="12"/>
      <c r="B153" s="12"/>
      <c r="C153" s="12"/>
      <c r="D153" s="18"/>
      <c r="E153" s="14"/>
      <c r="F153" s="19"/>
      <c r="G153" s="17" t="str">
        <f aca="false">IF(E153="","",E153*IF(F153="",1,F153))</f>
        <v/>
      </c>
      <c r="H153" s="12"/>
      <c r="I153" s="12"/>
      <c r="J153" s="12"/>
    </row>
    <row r="154" customFormat="false" ht="15" hidden="false" customHeight="false" outlineLevel="0" collapsed="false">
      <c r="A154" s="12"/>
      <c r="B154" s="12"/>
      <c r="C154" s="12"/>
      <c r="D154" s="18"/>
      <c r="E154" s="14"/>
      <c r="F154" s="19"/>
      <c r="G154" s="17" t="str">
        <f aca="false">IF(E154="","",E154*IF(F154="",1,F154))</f>
        <v/>
      </c>
      <c r="H154" s="12"/>
      <c r="I154" s="12"/>
      <c r="J154" s="12"/>
    </row>
    <row r="155" customFormat="false" ht="15" hidden="false" customHeight="false" outlineLevel="0" collapsed="false">
      <c r="A155" s="12"/>
      <c r="B155" s="12"/>
      <c r="C155" s="12"/>
      <c r="D155" s="18"/>
      <c r="E155" s="14"/>
      <c r="F155" s="19"/>
      <c r="G155" s="17" t="str">
        <f aca="false">IF(E155="","",E155*IF(F155="",1,F155))</f>
        <v/>
      </c>
      <c r="H155" s="12"/>
      <c r="I155" s="12"/>
      <c r="J155" s="12"/>
    </row>
    <row r="156" customFormat="false" ht="15" hidden="false" customHeight="false" outlineLevel="0" collapsed="false">
      <c r="A156" s="12"/>
      <c r="B156" s="12"/>
      <c r="C156" s="12"/>
      <c r="D156" s="18"/>
      <c r="E156" s="14"/>
      <c r="F156" s="19"/>
      <c r="G156" s="17" t="str">
        <f aca="false">IF(E156="","",E156*IF(F156="",1,F156))</f>
        <v/>
      </c>
      <c r="H156" s="12"/>
      <c r="I156" s="12"/>
      <c r="J156" s="12"/>
    </row>
    <row r="157" customFormat="false" ht="15" hidden="false" customHeight="false" outlineLevel="0" collapsed="false">
      <c r="A157" s="12"/>
      <c r="B157" s="12"/>
      <c r="C157" s="12"/>
      <c r="D157" s="18"/>
      <c r="E157" s="14"/>
      <c r="F157" s="19"/>
      <c r="G157" s="17" t="str">
        <f aca="false">IF(E157="","",E157*IF(F157="",1,F157))</f>
        <v/>
      </c>
      <c r="H157" s="12"/>
      <c r="I157" s="12"/>
      <c r="J157" s="12"/>
    </row>
    <row r="158" customFormat="false" ht="15" hidden="false" customHeight="false" outlineLevel="0" collapsed="false">
      <c r="A158" s="12"/>
      <c r="B158" s="12"/>
      <c r="C158" s="12"/>
      <c r="D158" s="18"/>
      <c r="E158" s="14"/>
      <c r="F158" s="19"/>
      <c r="G158" s="17" t="str">
        <f aca="false">IF(E158="","",E158*IF(F158="",1,F158))</f>
        <v/>
      </c>
      <c r="H158" s="12"/>
      <c r="I158" s="12"/>
      <c r="J158" s="12"/>
    </row>
    <row r="159" customFormat="false" ht="15" hidden="false" customHeight="false" outlineLevel="0" collapsed="false">
      <c r="A159" s="12"/>
      <c r="B159" s="12"/>
      <c r="C159" s="12"/>
      <c r="D159" s="18"/>
      <c r="E159" s="14"/>
      <c r="F159" s="19"/>
      <c r="G159" s="17" t="str">
        <f aca="false">IF(E159="","",E159*IF(F159="",1,F159))</f>
        <v/>
      </c>
      <c r="H159" s="12"/>
      <c r="I159" s="12"/>
      <c r="J159" s="12"/>
    </row>
    <row r="160" customFormat="false" ht="15" hidden="false" customHeight="false" outlineLevel="0" collapsed="false">
      <c r="A160" s="12"/>
      <c r="B160" s="12"/>
      <c r="C160" s="12"/>
      <c r="D160" s="18"/>
      <c r="E160" s="14"/>
      <c r="F160" s="19"/>
      <c r="G160" s="17" t="str">
        <f aca="false">IF(E160="","",E160*IF(F160="",1,F160))</f>
        <v/>
      </c>
      <c r="H160" s="12"/>
      <c r="I160" s="12"/>
      <c r="J160" s="12"/>
    </row>
    <row r="161" customFormat="false" ht="15" hidden="false" customHeight="false" outlineLevel="0" collapsed="false">
      <c r="A161" s="12"/>
      <c r="B161" s="12"/>
      <c r="C161" s="12"/>
      <c r="D161" s="18"/>
      <c r="E161" s="14"/>
      <c r="F161" s="19"/>
      <c r="G161" s="17" t="str">
        <f aca="false">IF(E161="","",E161*IF(F161="",1,F161))</f>
        <v/>
      </c>
      <c r="H161" s="12"/>
      <c r="I161" s="12"/>
      <c r="J161" s="12"/>
    </row>
    <row r="162" customFormat="false" ht="15" hidden="false" customHeight="false" outlineLevel="0" collapsed="false">
      <c r="A162" s="12"/>
      <c r="B162" s="12"/>
      <c r="C162" s="12"/>
      <c r="D162" s="18"/>
      <c r="E162" s="14"/>
      <c r="F162" s="19"/>
      <c r="G162" s="17" t="str">
        <f aca="false">IF(E162="","",E162*IF(F162="",1,F162))</f>
        <v/>
      </c>
      <c r="H162" s="12"/>
      <c r="I162" s="12"/>
      <c r="J162" s="12"/>
    </row>
    <row r="163" customFormat="false" ht="15" hidden="false" customHeight="false" outlineLevel="0" collapsed="false">
      <c r="A163" s="12"/>
      <c r="B163" s="12"/>
      <c r="C163" s="12"/>
      <c r="D163" s="18"/>
      <c r="E163" s="14"/>
      <c r="F163" s="19"/>
      <c r="G163" s="17" t="str">
        <f aca="false">IF(E163="","",E163*IF(F163="",1,F163))</f>
        <v/>
      </c>
      <c r="H163" s="12"/>
      <c r="I163" s="12"/>
      <c r="J163" s="12"/>
    </row>
    <row r="164" customFormat="false" ht="15" hidden="false" customHeight="false" outlineLevel="0" collapsed="false">
      <c r="A164" s="12"/>
      <c r="B164" s="12"/>
      <c r="C164" s="12"/>
      <c r="D164" s="18"/>
      <c r="E164" s="14"/>
      <c r="F164" s="19"/>
      <c r="G164" s="17" t="str">
        <f aca="false">IF(E164="","",E164*IF(F164="",1,F164))</f>
        <v/>
      </c>
      <c r="H164" s="12"/>
      <c r="I164" s="12"/>
      <c r="J164" s="12"/>
    </row>
    <row r="165" customFormat="false" ht="15" hidden="false" customHeight="false" outlineLevel="0" collapsed="false">
      <c r="A165" s="12"/>
      <c r="B165" s="12"/>
      <c r="C165" s="12"/>
      <c r="D165" s="18"/>
      <c r="E165" s="14"/>
      <c r="F165" s="19"/>
      <c r="G165" s="17" t="str">
        <f aca="false">IF(E165="","",E165*IF(F165="",1,F165))</f>
        <v/>
      </c>
      <c r="H165" s="12"/>
      <c r="I165" s="12"/>
      <c r="J165" s="12"/>
    </row>
    <row r="166" customFormat="false" ht="15" hidden="false" customHeight="false" outlineLevel="0" collapsed="false">
      <c r="A166" s="12"/>
      <c r="B166" s="12"/>
      <c r="C166" s="12"/>
      <c r="D166" s="18"/>
      <c r="E166" s="14"/>
      <c r="F166" s="19"/>
      <c r="G166" s="17" t="str">
        <f aca="false">IF(E166="","",E166*IF(F166="",1,F166))</f>
        <v/>
      </c>
      <c r="H166" s="12"/>
      <c r="I166" s="12"/>
      <c r="J166" s="12"/>
    </row>
    <row r="167" customFormat="false" ht="15" hidden="false" customHeight="false" outlineLevel="0" collapsed="false">
      <c r="A167" s="12"/>
      <c r="B167" s="12"/>
      <c r="C167" s="12"/>
      <c r="D167" s="18"/>
      <c r="E167" s="14"/>
      <c r="F167" s="19"/>
      <c r="G167" s="17" t="str">
        <f aca="false">IF(E167="","",E167*IF(F167="",1,F167))</f>
        <v/>
      </c>
      <c r="H167" s="12"/>
      <c r="I167" s="12"/>
      <c r="J167" s="12"/>
    </row>
    <row r="168" customFormat="false" ht="15" hidden="false" customHeight="false" outlineLevel="0" collapsed="false">
      <c r="A168" s="12"/>
      <c r="B168" s="12"/>
      <c r="C168" s="12"/>
      <c r="D168" s="18"/>
      <c r="E168" s="14"/>
      <c r="F168" s="19"/>
      <c r="G168" s="17" t="str">
        <f aca="false">IF(E168="","",E168*IF(F168="",1,F168))</f>
        <v/>
      </c>
      <c r="H168" s="12"/>
      <c r="I168" s="12"/>
      <c r="J168" s="12"/>
    </row>
    <row r="169" customFormat="false" ht="15" hidden="false" customHeight="false" outlineLevel="0" collapsed="false">
      <c r="A169" s="12"/>
      <c r="B169" s="12"/>
      <c r="C169" s="12"/>
      <c r="D169" s="18"/>
      <c r="E169" s="14"/>
      <c r="F169" s="19"/>
      <c r="G169" s="17" t="str">
        <f aca="false">IF(E169="","",E169*IF(F169="",1,F169))</f>
        <v/>
      </c>
      <c r="H169" s="12"/>
      <c r="I169" s="12"/>
      <c r="J169" s="12"/>
    </row>
    <row r="170" customFormat="false" ht="15" hidden="false" customHeight="false" outlineLevel="0" collapsed="false">
      <c r="A170" s="12"/>
      <c r="B170" s="12"/>
      <c r="C170" s="12"/>
      <c r="D170" s="18"/>
      <c r="E170" s="14"/>
      <c r="F170" s="19"/>
      <c r="G170" s="17" t="str">
        <f aca="false">IF(E170="","",E170*IF(F170="",1,F170))</f>
        <v/>
      </c>
      <c r="H170" s="12"/>
      <c r="I170" s="12"/>
      <c r="J170" s="12"/>
    </row>
    <row r="171" customFormat="false" ht="15" hidden="false" customHeight="false" outlineLevel="0" collapsed="false">
      <c r="A171" s="12"/>
      <c r="B171" s="12"/>
      <c r="C171" s="12"/>
      <c r="D171" s="18"/>
      <c r="E171" s="14"/>
      <c r="F171" s="19"/>
      <c r="G171" s="17" t="str">
        <f aca="false">IF(E171="","",E171*IF(F171="",1,F171))</f>
        <v/>
      </c>
      <c r="H171" s="12"/>
      <c r="I171" s="12"/>
      <c r="J171" s="12"/>
    </row>
    <row r="172" customFormat="false" ht="15" hidden="false" customHeight="false" outlineLevel="0" collapsed="false">
      <c r="A172" s="12"/>
      <c r="B172" s="12"/>
      <c r="C172" s="12"/>
      <c r="D172" s="18"/>
      <c r="E172" s="14"/>
      <c r="F172" s="19"/>
      <c r="G172" s="17" t="str">
        <f aca="false">IF(E172="","",E172*IF(F172="",1,F172))</f>
        <v/>
      </c>
      <c r="H172" s="12"/>
      <c r="I172" s="12"/>
      <c r="J172" s="12"/>
    </row>
    <row r="173" customFormat="false" ht="15" hidden="false" customHeight="false" outlineLevel="0" collapsed="false">
      <c r="A173" s="12"/>
      <c r="B173" s="12"/>
      <c r="C173" s="12"/>
      <c r="D173" s="18"/>
      <c r="E173" s="14"/>
      <c r="F173" s="19"/>
      <c r="G173" s="17" t="str">
        <f aca="false">IF(E173="","",E173*IF(F173="",1,F173))</f>
        <v/>
      </c>
      <c r="H173" s="12"/>
      <c r="I173" s="12"/>
      <c r="J173" s="12"/>
    </row>
    <row r="174" customFormat="false" ht="15" hidden="false" customHeight="false" outlineLevel="0" collapsed="false">
      <c r="A174" s="12"/>
      <c r="B174" s="12"/>
      <c r="C174" s="12"/>
      <c r="D174" s="18"/>
      <c r="E174" s="14"/>
      <c r="F174" s="19"/>
      <c r="G174" s="17" t="str">
        <f aca="false">IF(E174="","",E174*IF(F174="",1,F174))</f>
        <v/>
      </c>
      <c r="H174" s="12"/>
      <c r="I174" s="12"/>
      <c r="J174" s="12"/>
    </row>
    <row r="175" customFormat="false" ht="15" hidden="false" customHeight="false" outlineLevel="0" collapsed="false">
      <c r="A175" s="12"/>
      <c r="B175" s="12"/>
      <c r="C175" s="12"/>
      <c r="D175" s="18"/>
      <c r="E175" s="14"/>
      <c r="F175" s="19"/>
      <c r="G175" s="17" t="str">
        <f aca="false">IF(E175="","",E175*IF(F175="",1,F175))</f>
        <v/>
      </c>
      <c r="H175" s="12"/>
      <c r="I175" s="12"/>
      <c r="J175" s="12"/>
    </row>
    <row r="176" customFormat="false" ht="15" hidden="false" customHeight="false" outlineLevel="0" collapsed="false">
      <c r="A176" s="12"/>
      <c r="B176" s="12"/>
      <c r="C176" s="12"/>
      <c r="D176" s="18"/>
      <c r="E176" s="14"/>
      <c r="F176" s="19"/>
      <c r="G176" s="17" t="str">
        <f aca="false">IF(E176="","",E176*IF(F176="",1,F176))</f>
        <v/>
      </c>
      <c r="H176" s="12"/>
      <c r="I176" s="12"/>
      <c r="J176" s="12"/>
    </row>
    <row r="177" customFormat="false" ht="15" hidden="false" customHeight="false" outlineLevel="0" collapsed="false">
      <c r="A177" s="12"/>
      <c r="B177" s="12"/>
      <c r="C177" s="12"/>
      <c r="D177" s="18"/>
      <c r="E177" s="14"/>
      <c r="F177" s="19"/>
      <c r="G177" s="17" t="str">
        <f aca="false">IF(E177="","",E177*IF(F177="",1,F177))</f>
        <v/>
      </c>
      <c r="H177" s="12"/>
      <c r="I177" s="12"/>
      <c r="J177" s="12"/>
    </row>
    <row r="178" customFormat="false" ht="15" hidden="false" customHeight="false" outlineLevel="0" collapsed="false">
      <c r="A178" s="12"/>
      <c r="B178" s="12"/>
      <c r="C178" s="12"/>
      <c r="D178" s="18"/>
      <c r="E178" s="14"/>
      <c r="F178" s="19"/>
      <c r="G178" s="17" t="str">
        <f aca="false">IF(E178="","",E178*IF(F178="",1,F178))</f>
        <v/>
      </c>
      <c r="H178" s="12"/>
      <c r="I178" s="12"/>
      <c r="J178" s="12"/>
    </row>
    <row r="179" customFormat="false" ht="15" hidden="false" customHeight="false" outlineLevel="0" collapsed="false">
      <c r="A179" s="12"/>
      <c r="B179" s="12"/>
      <c r="C179" s="12"/>
      <c r="D179" s="18"/>
      <c r="E179" s="14"/>
      <c r="F179" s="19"/>
      <c r="G179" s="17" t="str">
        <f aca="false">IF(E179="","",E179*IF(F179="",1,F179))</f>
        <v/>
      </c>
      <c r="H179" s="12"/>
      <c r="I179" s="12"/>
      <c r="J179" s="12"/>
    </row>
    <row r="180" customFormat="false" ht="15" hidden="false" customHeight="false" outlineLevel="0" collapsed="false">
      <c r="A180" s="12"/>
      <c r="B180" s="12"/>
      <c r="C180" s="12"/>
      <c r="D180" s="18"/>
      <c r="E180" s="14"/>
      <c r="F180" s="19"/>
      <c r="G180" s="17" t="str">
        <f aca="false">IF(E180="","",E180*IF(F180="",1,F180))</f>
        <v/>
      </c>
      <c r="H180" s="12"/>
      <c r="I180" s="12"/>
      <c r="J180" s="12"/>
    </row>
    <row r="181" customFormat="false" ht="15" hidden="false" customHeight="false" outlineLevel="0" collapsed="false">
      <c r="A181" s="12"/>
      <c r="B181" s="12"/>
      <c r="C181" s="12"/>
      <c r="D181" s="18"/>
      <c r="E181" s="14"/>
      <c r="F181" s="19"/>
      <c r="G181" s="17" t="str">
        <f aca="false">IF(E181="","",E181*IF(F181="",1,F181))</f>
        <v/>
      </c>
      <c r="H181" s="12"/>
      <c r="I181" s="12"/>
      <c r="J181" s="12"/>
    </row>
    <row r="182" customFormat="false" ht="15" hidden="false" customHeight="false" outlineLevel="0" collapsed="false">
      <c r="A182" s="12"/>
      <c r="B182" s="12"/>
      <c r="C182" s="12"/>
      <c r="D182" s="18"/>
      <c r="E182" s="14"/>
      <c r="F182" s="19"/>
      <c r="G182" s="17" t="str">
        <f aca="false">IF(E182="","",E182*IF(F182="",1,F182))</f>
        <v/>
      </c>
      <c r="H182" s="12"/>
      <c r="I182" s="12"/>
      <c r="J182" s="12"/>
    </row>
    <row r="183" customFormat="false" ht="15" hidden="false" customHeight="false" outlineLevel="0" collapsed="false">
      <c r="A183" s="12"/>
      <c r="B183" s="12"/>
      <c r="C183" s="12"/>
      <c r="D183" s="18"/>
      <c r="E183" s="14"/>
      <c r="F183" s="19"/>
      <c r="G183" s="17" t="str">
        <f aca="false">IF(E183="","",E183*IF(F183="",1,F183))</f>
        <v/>
      </c>
      <c r="H183" s="12"/>
      <c r="I183" s="12"/>
      <c r="J183" s="12"/>
    </row>
    <row r="184" customFormat="false" ht="15" hidden="false" customHeight="false" outlineLevel="0" collapsed="false">
      <c r="A184" s="12"/>
      <c r="B184" s="12"/>
      <c r="C184" s="12"/>
      <c r="D184" s="18"/>
      <c r="E184" s="14"/>
      <c r="F184" s="19"/>
      <c r="G184" s="17" t="str">
        <f aca="false">IF(E184="","",E184*IF(F184="",1,F184))</f>
        <v/>
      </c>
      <c r="H184" s="12"/>
      <c r="I184" s="12"/>
      <c r="J184" s="12"/>
    </row>
    <row r="185" customFormat="false" ht="15" hidden="false" customHeight="false" outlineLevel="0" collapsed="false">
      <c r="A185" s="12"/>
      <c r="B185" s="12"/>
      <c r="C185" s="12"/>
      <c r="D185" s="18"/>
      <c r="E185" s="14"/>
      <c r="F185" s="19"/>
      <c r="G185" s="17" t="str">
        <f aca="false">IF(E185="","",E185*IF(F185="",1,F185))</f>
        <v/>
      </c>
      <c r="H185" s="12"/>
      <c r="I185" s="12"/>
      <c r="J185" s="12"/>
    </row>
    <row r="186" customFormat="false" ht="15" hidden="false" customHeight="false" outlineLevel="0" collapsed="false">
      <c r="A186" s="12"/>
      <c r="B186" s="12"/>
      <c r="C186" s="12"/>
      <c r="D186" s="18"/>
      <c r="E186" s="14"/>
      <c r="F186" s="19"/>
      <c r="G186" s="17" t="str">
        <f aca="false">IF(E186="","",E186*IF(F186="",1,F186))</f>
        <v/>
      </c>
      <c r="H186" s="12"/>
      <c r="I186" s="12"/>
      <c r="J186" s="12"/>
    </row>
    <row r="187" customFormat="false" ht="15" hidden="false" customHeight="false" outlineLevel="0" collapsed="false">
      <c r="A187" s="12"/>
      <c r="B187" s="12"/>
      <c r="C187" s="12"/>
      <c r="D187" s="18"/>
      <c r="E187" s="14"/>
      <c r="F187" s="19"/>
      <c r="G187" s="17" t="str">
        <f aca="false">IF(E187="","",E187*IF(F187="",1,F187))</f>
        <v/>
      </c>
      <c r="H187" s="12"/>
      <c r="I187" s="12"/>
      <c r="J187" s="12"/>
    </row>
    <row r="188" customFormat="false" ht="15" hidden="false" customHeight="false" outlineLevel="0" collapsed="false">
      <c r="A188" s="12"/>
      <c r="B188" s="12"/>
      <c r="C188" s="12"/>
      <c r="D188" s="18"/>
      <c r="E188" s="14"/>
      <c r="F188" s="19"/>
      <c r="G188" s="17" t="str">
        <f aca="false">IF(E188="","",E188*IF(F188="",1,F188))</f>
        <v/>
      </c>
      <c r="H188" s="12"/>
      <c r="I188" s="12"/>
      <c r="J188" s="12"/>
    </row>
    <row r="189" customFormat="false" ht="15" hidden="false" customHeight="false" outlineLevel="0" collapsed="false">
      <c r="A189" s="12"/>
      <c r="B189" s="12"/>
      <c r="C189" s="12"/>
      <c r="D189" s="18"/>
      <c r="E189" s="14"/>
      <c r="F189" s="19"/>
      <c r="G189" s="17" t="str">
        <f aca="false">IF(E189="","",E189*IF(F189="",1,F189))</f>
        <v/>
      </c>
      <c r="H189" s="12"/>
      <c r="I189" s="12"/>
      <c r="J189" s="12"/>
    </row>
    <row r="190" customFormat="false" ht="15" hidden="false" customHeight="false" outlineLevel="0" collapsed="false">
      <c r="A190" s="12"/>
      <c r="B190" s="12"/>
      <c r="C190" s="12"/>
      <c r="D190" s="18"/>
      <c r="E190" s="14"/>
      <c r="F190" s="19"/>
      <c r="G190" s="17" t="str">
        <f aca="false">IF(E190="","",E190*IF(F190="",1,F190))</f>
        <v/>
      </c>
      <c r="H190" s="12"/>
      <c r="I190" s="12"/>
      <c r="J190" s="12"/>
    </row>
    <row r="191" customFormat="false" ht="15" hidden="false" customHeight="false" outlineLevel="0" collapsed="false">
      <c r="A191" s="12"/>
      <c r="B191" s="12"/>
      <c r="C191" s="12"/>
      <c r="D191" s="18"/>
      <c r="E191" s="14"/>
      <c r="F191" s="19"/>
      <c r="G191" s="17" t="str">
        <f aca="false">IF(E191="","",E191*IF(F191="",1,F191))</f>
        <v/>
      </c>
      <c r="H191" s="12"/>
      <c r="I191" s="12"/>
      <c r="J191" s="12"/>
    </row>
    <row r="192" customFormat="false" ht="15" hidden="false" customHeight="false" outlineLevel="0" collapsed="false">
      <c r="A192" s="12"/>
      <c r="B192" s="12"/>
      <c r="C192" s="12"/>
      <c r="D192" s="18"/>
      <c r="E192" s="14"/>
      <c r="F192" s="19"/>
      <c r="G192" s="17" t="str">
        <f aca="false">IF(E192="","",E192*IF(F192="",1,F192))</f>
        <v/>
      </c>
      <c r="H192" s="12"/>
      <c r="I192" s="12"/>
      <c r="J192" s="12"/>
    </row>
    <row r="193" customFormat="false" ht="15" hidden="false" customHeight="false" outlineLevel="0" collapsed="false">
      <c r="A193" s="12"/>
      <c r="B193" s="12"/>
      <c r="C193" s="12"/>
      <c r="D193" s="18"/>
      <c r="E193" s="14"/>
      <c r="F193" s="19"/>
      <c r="G193" s="17" t="str">
        <f aca="false">IF(E193="","",E193*IF(F193="",1,F193))</f>
        <v/>
      </c>
      <c r="H193" s="12"/>
      <c r="I193" s="12"/>
      <c r="J193" s="12"/>
    </row>
    <row r="194" customFormat="false" ht="15" hidden="false" customHeight="false" outlineLevel="0" collapsed="false">
      <c r="A194" s="12"/>
      <c r="B194" s="12"/>
      <c r="C194" s="12"/>
      <c r="D194" s="18"/>
      <c r="E194" s="14"/>
      <c r="F194" s="19"/>
      <c r="G194" s="17" t="str">
        <f aca="false">IF(E194="","",E194*IF(F194="",1,F194))</f>
        <v/>
      </c>
      <c r="H194" s="12"/>
      <c r="I194" s="12"/>
      <c r="J194" s="12"/>
    </row>
    <row r="195" customFormat="false" ht="15" hidden="false" customHeight="false" outlineLevel="0" collapsed="false">
      <c r="A195" s="12"/>
      <c r="B195" s="12"/>
      <c r="C195" s="12"/>
      <c r="D195" s="18"/>
      <c r="E195" s="14"/>
      <c r="F195" s="19"/>
      <c r="G195" s="17" t="str">
        <f aca="false">IF(E195="","",E195*IF(F195="",1,F195))</f>
        <v/>
      </c>
      <c r="H195" s="12"/>
      <c r="I195" s="12"/>
      <c r="J195" s="12"/>
    </row>
    <row r="196" customFormat="false" ht="15" hidden="false" customHeight="false" outlineLevel="0" collapsed="false">
      <c r="A196" s="12"/>
      <c r="B196" s="12"/>
      <c r="C196" s="12"/>
      <c r="D196" s="18"/>
      <c r="E196" s="14"/>
      <c r="F196" s="19"/>
      <c r="G196" s="17" t="str">
        <f aca="false">IF(E196="","",E196*IF(F196="",1,F196))</f>
        <v/>
      </c>
      <c r="H196" s="12"/>
      <c r="I196" s="12"/>
      <c r="J196" s="12"/>
    </row>
    <row r="197" customFormat="false" ht="15" hidden="false" customHeight="false" outlineLevel="0" collapsed="false">
      <c r="A197" s="12"/>
      <c r="B197" s="12"/>
      <c r="C197" s="12"/>
      <c r="D197" s="18"/>
      <c r="E197" s="14"/>
      <c r="F197" s="19"/>
      <c r="G197" s="17" t="str">
        <f aca="false">IF(E197="","",E197*IF(F197="",1,F197))</f>
        <v/>
      </c>
      <c r="H197" s="12"/>
      <c r="I197" s="12"/>
      <c r="J197" s="12"/>
    </row>
    <row r="198" customFormat="false" ht="15" hidden="false" customHeight="false" outlineLevel="0" collapsed="false">
      <c r="A198" s="12"/>
      <c r="B198" s="12"/>
      <c r="C198" s="12"/>
      <c r="D198" s="18"/>
      <c r="E198" s="14"/>
      <c r="F198" s="19"/>
      <c r="G198" s="17" t="str">
        <f aca="false">IF(E198="","",E198*IF(F198="",1,F198))</f>
        <v/>
      </c>
      <c r="H198" s="12"/>
      <c r="I198" s="12"/>
      <c r="J198" s="12"/>
    </row>
    <row r="199" customFormat="false" ht="15" hidden="false" customHeight="false" outlineLevel="0" collapsed="false">
      <c r="A199" s="12"/>
      <c r="B199" s="12"/>
      <c r="C199" s="12"/>
      <c r="D199" s="18"/>
      <c r="E199" s="14"/>
      <c r="F199" s="19"/>
      <c r="G199" s="17" t="str">
        <f aca="false">IF(E199="","",E199*IF(F199="",1,F199))</f>
        <v/>
      </c>
      <c r="H199" s="12"/>
      <c r="I199" s="12"/>
      <c r="J199" s="12"/>
    </row>
    <row r="200" customFormat="false" ht="15" hidden="false" customHeight="false" outlineLevel="0" collapsed="false">
      <c r="A200" s="12"/>
      <c r="B200" s="12"/>
      <c r="C200" s="12"/>
      <c r="D200" s="18"/>
      <c r="E200" s="14"/>
      <c r="F200" s="19"/>
      <c r="G200" s="17" t="str">
        <f aca="false">IF(E200="","",E200*IF(F200="",1,F200))</f>
        <v/>
      </c>
      <c r="H200" s="12"/>
      <c r="I200" s="12"/>
      <c r="J200" s="12"/>
    </row>
    <row r="201" customFormat="false" ht="15" hidden="false" customHeight="false" outlineLevel="0" collapsed="false">
      <c r="A201" s="12"/>
      <c r="B201" s="12"/>
      <c r="C201" s="12"/>
      <c r="D201" s="18"/>
      <c r="E201" s="14"/>
      <c r="F201" s="19"/>
      <c r="G201" s="17" t="str">
        <f aca="false">IF(E201="","",E201*IF(F201="",1,F201))</f>
        <v/>
      </c>
      <c r="H201" s="12"/>
      <c r="I201" s="12"/>
      <c r="J201" s="12"/>
    </row>
    <row r="202" customFormat="false" ht="15" hidden="false" customHeight="false" outlineLevel="0" collapsed="false">
      <c r="A202" s="12"/>
      <c r="B202" s="12"/>
      <c r="C202" s="12"/>
      <c r="D202" s="18"/>
      <c r="E202" s="14"/>
      <c r="F202" s="19"/>
      <c r="G202" s="17" t="str">
        <f aca="false">IF(E202="","",E202*IF(F202="",1,F202))</f>
        <v/>
      </c>
      <c r="H202" s="12"/>
      <c r="I202" s="12"/>
      <c r="J202" s="12"/>
    </row>
    <row r="203" customFormat="false" ht="15" hidden="false" customHeight="false" outlineLevel="0" collapsed="false">
      <c r="A203" s="12"/>
      <c r="B203" s="12"/>
      <c r="C203" s="12"/>
      <c r="D203" s="18"/>
      <c r="E203" s="14"/>
      <c r="F203" s="19"/>
      <c r="G203" s="17" t="str">
        <f aca="false">IF(E203="","",E203*IF(F203="",1,F203))</f>
        <v/>
      </c>
      <c r="H203" s="12"/>
      <c r="I203" s="12"/>
      <c r="J203" s="12"/>
    </row>
    <row r="204" customFormat="false" ht="15" hidden="false" customHeight="false" outlineLevel="0" collapsed="false">
      <c r="A204" s="12"/>
      <c r="B204" s="12"/>
      <c r="C204" s="12"/>
      <c r="D204" s="18"/>
      <c r="E204" s="14"/>
      <c r="F204" s="19"/>
      <c r="G204" s="17" t="str">
        <f aca="false">IF(E204="","",E204*IF(F204="",1,F204))</f>
        <v/>
      </c>
      <c r="H204" s="12"/>
      <c r="I204" s="12"/>
      <c r="J204" s="12"/>
    </row>
    <row r="205" customFormat="false" ht="15" hidden="false" customHeight="false" outlineLevel="0" collapsed="false">
      <c r="A205" s="12"/>
      <c r="B205" s="12"/>
      <c r="C205" s="12"/>
      <c r="D205" s="18"/>
      <c r="E205" s="14"/>
      <c r="F205" s="19"/>
      <c r="G205" s="17" t="str">
        <f aca="false">IF(E205="","",E205*IF(F205="",1,F205))</f>
        <v/>
      </c>
      <c r="H205" s="12"/>
      <c r="I205" s="12"/>
      <c r="J205" s="12"/>
    </row>
    <row r="206" customFormat="false" ht="15" hidden="false" customHeight="false" outlineLevel="0" collapsed="false">
      <c r="A206" s="12"/>
      <c r="B206" s="12"/>
      <c r="C206" s="12"/>
      <c r="D206" s="18"/>
      <c r="E206" s="14"/>
      <c r="F206" s="19"/>
      <c r="G206" s="17" t="str">
        <f aca="false">IF(E206="","",E206*IF(F206="",1,F206))</f>
        <v/>
      </c>
      <c r="H206" s="12"/>
      <c r="I206" s="12"/>
      <c r="J206" s="12"/>
    </row>
    <row r="207" customFormat="false" ht="15" hidden="false" customHeight="false" outlineLevel="0" collapsed="false">
      <c r="A207" s="12"/>
      <c r="B207" s="12"/>
      <c r="C207" s="12"/>
      <c r="D207" s="18"/>
      <c r="E207" s="14"/>
      <c r="F207" s="19"/>
      <c r="G207" s="17" t="str">
        <f aca="false">IF(E207="","",E207*IF(F207="",1,F207))</f>
        <v/>
      </c>
      <c r="H207" s="12"/>
      <c r="I207" s="12"/>
      <c r="J207" s="12"/>
    </row>
    <row r="208" customFormat="false" ht="15" hidden="false" customHeight="false" outlineLevel="0" collapsed="false">
      <c r="A208" s="12"/>
      <c r="B208" s="12"/>
      <c r="C208" s="12"/>
      <c r="D208" s="18"/>
      <c r="E208" s="14"/>
      <c r="F208" s="19"/>
      <c r="G208" s="17" t="str">
        <f aca="false">IF(E208="","",E208*IF(F208="",1,F208))</f>
        <v/>
      </c>
      <c r="H208" s="12"/>
      <c r="I208" s="12"/>
      <c r="J208" s="12"/>
    </row>
    <row r="209" customFormat="false" ht="15" hidden="false" customHeight="false" outlineLevel="0" collapsed="false">
      <c r="A209" s="12"/>
      <c r="B209" s="12"/>
      <c r="C209" s="12"/>
      <c r="D209" s="18"/>
      <c r="E209" s="14"/>
      <c r="F209" s="19"/>
      <c r="G209" s="17" t="str">
        <f aca="false">IF(E209="","",E209*IF(F209="",1,F209))</f>
        <v/>
      </c>
      <c r="H209" s="12"/>
      <c r="I209" s="12"/>
      <c r="J209" s="12"/>
    </row>
    <row r="210" customFormat="false" ht="15" hidden="false" customHeight="false" outlineLevel="0" collapsed="false">
      <c r="A210" s="12"/>
      <c r="B210" s="12"/>
      <c r="C210" s="12"/>
      <c r="D210" s="18"/>
      <c r="E210" s="14"/>
      <c r="F210" s="19"/>
      <c r="G210" s="17" t="str">
        <f aca="false">IF(E210="","",E210*IF(F210="",1,F210))</f>
        <v/>
      </c>
      <c r="H210" s="12"/>
      <c r="I210" s="12"/>
      <c r="J210" s="12"/>
    </row>
    <row r="211" customFormat="false" ht="15" hidden="false" customHeight="false" outlineLevel="0" collapsed="false">
      <c r="A211" s="12"/>
      <c r="B211" s="12"/>
      <c r="C211" s="12"/>
      <c r="D211" s="18"/>
      <c r="E211" s="14"/>
      <c r="F211" s="19"/>
      <c r="G211" s="17" t="str">
        <f aca="false">IF(E211="","",E211*IF(F211="",1,F211))</f>
        <v/>
      </c>
      <c r="H211" s="12"/>
      <c r="I211" s="12"/>
      <c r="J211" s="12"/>
    </row>
    <row r="212" customFormat="false" ht="15" hidden="false" customHeight="false" outlineLevel="0" collapsed="false">
      <c r="A212" s="12"/>
      <c r="B212" s="12"/>
      <c r="C212" s="12"/>
      <c r="D212" s="18"/>
      <c r="E212" s="14"/>
      <c r="F212" s="19"/>
      <c r="G212" s="17" t="str">
        <f aca="false">IF(E212="","",E212*IF(F212="",1,F212))</f>
        <v/>
      </c>
      <c r="H212" s="12"/>
      <c r="I212" s="12"/>
      <c r="J212" s="12"/>
    </row>
    <row r="213" customFormat="false" ht="15" hidden="false" customHeight="false" outlineLevel="0" collapsed="false">
      <c r="A213" s="12"/>
      <c r="B213" s="12"/>
      <c r="C213" s="12"/>
      <c r="D213" s="18"/>
      <c r="E213" s="14"/>
      <c r="F213" s="19"/>
      <c r="G213" s="17" t="str">
        <f aca="false">IF(E213="","",E213*IF(F213="",1,F213))</f>
        <v/>
      </c>
      <c r="H213" s="12"/>
      <c r="I213" s="12"/>
      <c r="J213" s="12"/>
    </row>
    <row r="214" customFormat="false" ht="15" hidden="false" customHeight="false" outlineLevel="0" collapsed="false">
      <c r="A214" s="12"/>
      <c r="B214" s="12"/>
      <c r="C214" s="12"/>
      <c r="D214" s="18"/>
      <c r="E214" s="14"/>
      <c r="F214" s="19"/>
      <c r="G214" s="17" t="str">
        <f aca="false">IF(E214="","",E214*IF(F214="",1,F214))</f>
        <v/>
      </c>
      <c r="H214" s="12"/>
      <c r="I214" s="12"/>
      <c r="J214" s="12"/>
    </row>
    <row r="215" customFormat="false" ht="15" hidden="false" customHeight="false" outlineLevel="0" collapsed="false">
      <c r="A215" s="12"/>
      <c r="B215" s="12"/>
      <c r="C215" s="12"/>
      <c r="D215" s="18"/>
      <c r="E215" s="14"/>
      <c r="F215" s="19"/>
      <c r="G215" s="17" t="str">
        <f aca="false">IF(E215="","",E215*IF(F215="",1,F215))</f>
        <v/>
      </c>
      <c r="H215" s="12"/>
      <c r="I215" s="12"/>
      <c r="J215" s="12"/>
    </row>
    <row r="216" customFormat="false" ht="15" hidden="false" customHeight="false" outlineLevel="0" collapsed="false">
      <c r="A216" s="12"/>
      <c r="B216" s="12"/>
      <c r="C216" s="12"/>
      <c r="D216" s="18"/>
      <c r="E216" s="14"/>
      <c r="F216" s="19"/>
      <c r="G216" s="17" t="str">
        <f aca="false">IF(E216="","",E216*IF(F216="",1,F216))</f>
        <v/>
      </c>
      <c r="H216" s="12"/>
      <c r="I216" s="12"/>
      <c r="J216" s="12"/>
    </row>
    <row r="217" customFormat="false" ht="15" hidden="false" customHeight="false" outlineLevel="0" collapsed="false">
      <c r="A217" s="12"/>
      <c r="B217" s="12"/>
      <c r="C217" s="12"/>
      <c r="D217" s="18"/>
      <c r="E217" s="14"/>
      <c r="F217" s="19"/>
      <c r="G217" s="17" t="str">
        <f aca="false">IF(E217="","",E217*IF(F217="",1,F217))</f>
        <v/>
      </c>
      <c r="H217" s="12"/>
      <c r="I217" s="12"/>
      <c r="J217" s="12"/>
    </row>
    <row r="218" customFormat="false" ht="15" hidden="false" customHeight="false" outlineLevel="0" collapsed="false">
      <c r="A218" s="12"/>
      <c r="B218" s="12"/>
      <c r="C218" s="12"/>
      <c r="D218" s="18"/>
      <c r="E218" s="14"/>
      <c r="F218" s="19"/>
      <c r="G218" s="17" t="str">
        <f aca="false">IF(E218="","",E218*IF(F218="",1,F218))</f>
        <v/>
      </c>
      <c r="H218" s="12"/>
      <c r="I218" s="12"/>
      <c r="J218" s="12"/>
    </row>
    <row r="219" customFormat="false" ht="15" hidden="false" customHeight="false" outlineLevel="0" collapsed="false">
      <c r="A219" s="12"/>
      <c r="B219" s="12"/>
      <c r="C219" s="12"/>
      <c r="D219" s="18"/>
      <c r="E219" s="14"/>
      <c r="F219" s="19"/>
      <c r="G219" s="17" t="str">
        <f aca="false">IF(E219="","",E219*IF(F219="",1,F219))</f>
        <v/>
      </c>
      <c r="H219" s="12"/>
      <c r="I219" s="12"/>
      <c r="J219" s="12"/>
    </row>
    <row r="220" customFormat="false" ht="15" hidden="false" customHeight="false" outlineLevel="0" collapsed="false">
      <c r="A220" s="12"/>
      <c r="B220" s="12"/>
      <c r="C220" s="12"/>
      <c r="D220" s="18"/>
      <c r="E220" s="14"/>
      <c r="F220" s="19"/>
      <c r="G220" s="17" t="str">
        <f aca="false">IF(E220="","",E220*IF(F220="",1,F220))</f>
        <v/>
      </c>
      <c r="H220" s="12"/>
      <c r="I220" s="12"/>
      <c r="J220" s="12"/>
    </row>
    <row r="221" customFormat="false" ht="15" hidden="false" customHeight="false" outlineLevel="0" collapsed="false">
      <c r="A221" s="12"/>
      <c r="B221" s="12"/>
      <c r="C221" s="12"/>
      <c r="D221" s="18"/>
      <c r="E221" s="14"/>
      <c r="F221" s="19"/>
      <c r="G221" s="17" t="str">
        <f aca="false">IF(E221="","",E221*IF(F221="",1,F221))</f>
        <v/>
      </c>
      <c r="H221" s="12"/>
      <c r="I221" s="12"/>
      <c r="J221" s="12"/>
    </row>
    <row r="222" customFormat="false" ht="15" hidden="false" customHeight="false" outlineLevel="0" collapsed="false">
      <c r="A222" s="12"/>
      <c r="B222" s="12"/>
      <c r="C222" s="12"/>
      <c r="D222" s="18"/>
      <c r="E222" s="14"/>
      <c r="F222" s="19"/>
      <c r="G222" s="17" t="str">
        <f aca="false">IF(E222="","",E222*IF(F222="",1,F222))</f>
        <v/>
      </c>
      <c r="H222" s="12"/>
      <c r="I222" s="12"/>
      <c r="J222" s="12"/>
    </row>
    <row r="223" customFormat="false" ht="15" hidden="false" customHeight="false" outlineLevel="0" collapsed="false">
      <c r="A223" s="12"/>
      <c r="B223" s="12"/>
      <c r="C223" s="12"/>
      <c r="D223" s="18"/>
      <c r="E223" s="14"/>
      <c r="F223" s="19"/>
      <c r="G223" s="17" t="str">
        <f aca="false">IF(E223="","",E223*IF(F223="",1,F223))</f>
        <v/>
      </c>
      <c r="H223" s="12"/>
      <c r="I223" s="12"/>
      <c r="J223" s="12"/>
    </row>
    <row r="224" customFormat="false" ht="15" hidden="false" customHeight="false" outlineLevel="0" collapsed="false">
      <c r="A224" s="12"/>
      <c r="B224" s="12"/>
      <c r="C224" s="12"/>
      <c r="D224" s="18"/>
      <c r="E224" s="14"/>
      <c r="F224" s="19"/>
      <c r="G224" s="17" t="str">
        <f aca="false">IF(E224="","",E224*IF(F224="",1,F224))</f>
        <v/>
      </c>
      <c r="H224" s="12"/>
      <c r="I224" s="12"/>
      <c r="J224" s="12"/>
    </row>
    <row r="225" customFormat="false" ht="15" hidden="false" customHeight="false" outlineLevel="0" collapsed="false">
      <c r="A225" s="12"/>
      <c r="B225" s="12"/>
      <c r="C225" s="12"/>
      <c r="D225" s="18"/>
      <c r="E225" s="14"/>
      <c r="F225" s="19"/>
      <c r="G225" s="17" t="str">
        <f aca="false">IF(E225="","",E225*IF(F225="",1,F225))</f>
        <v/>
      </c>
      <c r="H225" s="12"/>
      <c r="I225" s="12"/>
      <c r="J225" s="12"/>
    </row>
    <row r="226" customFormat="false" ht="15" hidden="false" customHeight="false" outlineLevel="0" collapsed="false">
      <c r="A226" s="12"/>
      <c r="B226" s="12"/>
      <c r="C226" s="12"/>
      <c r="D226" s="18"/>
      <c r="E226" s="14"/>
      <c r="F226" s="19"/>
      <c r="G226" s="17" t="str">
        <f aca="false">IF(E226="","",E226*IF(F226="",1,F226))</f>
        <v/>
      </c>
      <c r="H226" s="12"/>
      <c r="I226" s="12"/>
      <c r="J226" s="12"/>
    </row>
    <row r="227" customFormat="false" ht="15" hidden="false" customHeight="false" outlineLevel="0" collapsed="false">
      <c r="A227" s="12"/>
      <c r="B227" s="12"/>
      <c r="C227" s="12"/>
      <c r="D227" s="18"/>
      <c r="E227" s="14"/>
      <c r="F227" s="19"/>
      <c r="G227" s="17" t="str">
        <f aca="false">IF(E227="","",E227*IF(F227="",1,F227))</f>
        <v/>
      </c>
      <c r="H227" s="12"/>
      <c r="I227" s="12"/>
      <c r="J227" s="12"/>
    </row>
    <row r="228" customFormat="false" ht="15" hidden="false" customHeight="false" outlineLevel="0" collapsed="false">
      <c r="A228" s="12"/>
      <c r="B228" s="12"/>
      <c r="C228" s="12"/>
      <c r="D228" s="18"/>
      <c r="E228" s="14"/>
      <c r="F228" s="19"/>
      <c r="G228" s="17" t="str">
        <f aca="false">IF(E228="","",E228*IF(F228="",1,F228))</f>
        <v/>
      </c>
      <c r="H228" s="12"/>
      <c r="I228" s="12"/>
      <c r="J228" s="12"/>
    </row>
    <row r="229" customFormat="false" ht="15" hidden="false" customHeight="false" outlineLevel="0" collapsed="false">
      <c r="A229" s="12"/>
      <c r="B229" s="12"/>
      <c r="C229" s="12"/>
      <c r="D229" s="18"/>
      <c r="E229" s="14"/>
      <c r="F229" s="19"/>
      <c r="G229" s="17" t="str">
        <f aca="false">IF(E229="","",E229*IF(F229="",1,F229))</f>
        <v/>
      </c>
      <c r="H229" s="12"/>
      <c r="I229" s="12"/>
      <c r="J229" s="12"/>
    </row>
    <row r="230" customFormat="false" ht="15" hidden="false" customHeight="false" outlineLevel="0" collapsed="false">
      <c r="A230" s="12"/>
      <c r="B230" s="12"/>
      <c r="C230" s="12"/>
      <c r="D230" s="18"/>
      <c r="E230" s="14"/>
      <c r="F230" s="19"/>
      <c r="G230" s="17" t="str">
        <f aca="false">IF(E230="","",E230*IF(F230="",1,F230))</f>
        <v/>
      </c>
      <c r="H230" s="12"/>
      <c r="I230" s="12"/>
      <c r="J230" s="12"/>
    </row>
    <row r="231" customFormat="false" ht="15" hidden="false" customHeight="false" outlineLevel="0" collapsed="false">
      <c r="A231" s="12"/>
      <c r="B231" s="12"/>
      <c r="C231" s="12"/>
      <c r="D231" s="18"/>
      <c r="E231" s="14"/>
      <c r="F231" s="19"/>
      <c r="G231" s="17" t="str">
        <f aca="false">IF(E231="","",E231*IF(F231="",1,F231))</f>
        <v/>
      </c>
      <c r="H231" s="12"/>
      <c r="I231" s="12"/>
      <c r="J231" s="12"/>
    </row>
    <row r="232" customFormat="false" ht="15" hidden="false" customHeight="false" outlineLevel="0" collapsed="false">
      <c r="A232" s="12"/>
      <c r="B232" s="12"/>
      <c r="C232" s="12"/>
      <c r="D232" s="18"/>
      <c r="E232" s="14"/>
      <c r="F232" s="19"/>
      <c r="G232" s="17" t="str">
        <f aca="false">IF(E232="","",E232*IF(F232="",1,F232))</f>
        <v/>
      </c>
      <c r="H232" s="12"/>
      <c r="I232" s="12"/>
      <c r="J232" s="12"/>
    </row>
    <row r="233" customFormat="false" ht="15" hidden="false" customHeight="false" outlineLevel="0" collapsed="false">
      <c r="A233" s="12"/>
      <c r="B233" s="12"/>
      <c r="C233" s="12"/>
      <c r="D233" s="18"/>
      <c r="E233" s="14"/>
      <c r="F233" s="19"/>
      <c r="G233" s="17" t="str">
        <f aca="false">IF(E233="","",E233*IF(F233="",1,F233))</f>
        <v/>
      </c>
      <c r="H233" s="12"/>
      <c r="I233" s="12"/>
      <c r="J233" s="12"/>
    </row>
    <row r="234" customFormat="false" ht="15" hidden="false" customHeight="false" outlineLevel="0" collapsed="false">
      <c r="A234" s="12"/>
      <c r="B234" s="12"/>
      <c r="C234" s="12"/>
      <c r="D234" s="18"/>
      <c r="E234" s="14"/>
      <c r="F234" s="19"/>
      <c r="G234" s="17" t="str">
        <f aca="false">IF(E234="","",E234*IF(F234="",1,F234))</f>
        <v/>
      </c>
      <c r="H234" s="12"/>
      <c r="I234" s="12"/>
      <c r="J234" s="12"/>
    </row>
    <row r="235" customFormat="false" ht="15" hidden="false" customHeight="false" outlineLevel="0" collapsed="false">
      <c r="A235" s="12"/>
      <c r="B235" s="12"/>
      <c r="C235" s="12"/>
      <c r="D235" s="18"/>
      <c r="E235" s="14"/>
      <c r="F235" s="19"/>
      <c r="G235" s="17" t="str">
        <f aca="false">IF(E235="","",E235*IF(F235="",1,F235))</f>
        <v/>
      </c>
      <c r="H235" s="12"/>
      <c r="I235" s="12"/>
      <c r="J235" s="12"/>
    </row>
    <row r="236" customFormat="false" ht="15" hidden="false" customHeight="false" outlineLevel="0" collapsed="false">
      <c r="A236" s="12"/>
      <c r="B236" s="12"/>
      <c r="C236" s="12"/>
      <c r="D236" s="18"/>
      <c r="E236" s="14"/>
      <c r="F236" s="19"/>
      <c r="G236" s="17" t="str">
        <f aca="false">IF(E236="","",E236*IF(F236="",1,F236))</f>
        <v/>
      </c>
      <c r="H236" s="12"/>
      <c r="I236" s="12"/>
      <c r="J236" s="12"/>
    </row>
    <row r="237" customFormat="false" ht="15" hidden="false" customHeight="false" outlineLevel="0" collapsed="false">
      <c r="A237" s="12"/>
      <c r="B237" s="12"/>
      <c r="C237" s="12"/>
      <c r="D237" s="18"/>
      <c r="E237" s="14"/>
      <c r="F237" s="19"/>
      <c r="G237" s="17" t="str">
        <f aca="false">IF(E237="","",E237*IF(F237="",1,F237))</f>
        <v/>
      </c>
      <c r="H237" s="12"/>
      <c r="I237" s="12"/>
      <c r="J237" s="12"/>
    </row>
    <row r="238" customFormat="false" ht="15" hidden="false" customHeight="false" outlineLevel="0" collapsed="false">
      <c r="A238" s="12"/>
      <c r="B238" s="12"/>
      <c r="C238" s="12"/>
      <c r="D238" s="18"/>
      <c r="E238" s="14"/>
      <c r="F238" s="19"/>
      <c r="G238" s="17" t="str">
        <f aca="false">IF(E238="","",E238*IF(F238="",1,F238))</f>
        <v/>
      </c>
      <c r="H238" s="12"/>
      <c r="I238" s="12"/>
      <c r="J238" s="12"/>
    </row>
    <row r="239" customFormat="false" ht="15" hidden="false" customHeight="false" outlineLevel="0" collapsed="false">
      <c r="A239" s="12"/>
      <c r="B239" s="12"/>
      <c r="C239" s="12"/>
      <c r="D239" s="18"/>
      <c r="E239" s="14"/>
      <c r="F239" s="19"/>
      <c r="G239" s="17" t="str">
        <f aca="false">IF(E239="","",E239*IF(F239="",1,F239))</f>
        <v/>
      </c>
      <c r="H239" s="12"/>
      <c r="I239" s="12"/>
      <c r="J239" s="12"/>
    </row>
    <row r="240" customFormat="false" ht="15" hidden="false" customHeight="false" outlineLevel="0" collapsed="false">
      <c r="A240" s="12"/>
      <c r="B240" s="12"/>
      <c r="C240" s="12"/>
      <c r="D240" s="18"/>
      <c r="E240" s="14"/>
      <c r="F240" s="19"/>
      <c r="G240" s="17" t="str">
        <f aca="false">IF(E240="","",E240*IF(F240="",1,F240))</f>
        <v/>
      </c>
      <c r="H240" s="12"/>
      <c r="I240" s="12"/>
      <c r="J240" s="12"/>
    </row>
    <row r="241" customFormat="false" ht="15" hidden="false" customHeight="false" outlineLevel="0" collapsed="false">
      <c r="A241" s="12"/>
      <c r="B241" s="12"/>
      <c r="C241" s="12"/>
      <c r="D241" s="18"/>
      <c r="E241" s="14"/>
      <c r="F241" s="19"/>
      <c r="G241" s="17" t="str">
        <f aca="false">IF(E241="","",E241*IF(F241="",1,F241))</f>
        <v/>
      </c>
      <c r="H241" s="12"/>
      <c r="I241" s="12"/>
      <c r="J241" s="12"/>
    </row>
    <row r="242" customFormat="false" ht="15" hidden="false" customHeight="false" outlineLevel="0" collapsed="false">
      <c r="A242" s="12"/>
      <c r="B242" s="12"/>
      <c r="C242" s="12"/>
      <c r="D242" s="18"/>
      <c r="E242" s="14"/>
      <c r="F242" s="19"/>
      <c r="G242" s="17" t="str">
        <f aca="false">IF(E242="","",E242*IF(F242="",1,F242))</f>
        <v/>
      </c>
      <c r="H242" s="12"/>
      <c r="I242" s="12"/>
      <c r="J242" s="12"/>
    </row>
    <row r="243" customFormat="false" ht="15" hidden="false" customHeight="false" outlineLevel="0" collapsed="false">
      <c r="A243" s="12"/>
      <c r="B243" s="12"/>
      <c r="C243" s="12"/>
      <c r="D243" s="18"/>
      <c r="E243" s="14"/>
      <c r="F243" s="19"/>
      <c r="G243" s="17" t="str">
        <f aca="false">IF(E243="","",E243*IF(F243="",1,F243))</f>
        <v/>
      </c>
      <c r="H243" s="12"/>
      <c r="I243" s="12"/>
      <c r="J243" s="12"/>
    </row>
    <row r="244" customFormat="false" ht="15" hidden="false" customHeight="false" outlineLevel="0" collapsed="false">
      <c r="A244" s="12"/>
      <c r="B244" s="12"/>
      <c r="C244" s="12"/>
      <c r="D244" s="18"/>
      <c r="E244" s="14"/>
      <c r="F244" s="19"/>
      <c r="G244" s="17" t="str">
        <f aca="false">IF(E244="","",E244*IF(F244="",1,F244))</f>
        <v/>
      </c>
      <c r="H244" s="12"/>
      <c r="I244" s="12"/>
      <c r="J244" s="12"/>
    </row>
    <row r="245" customFormat="false" ht="15" hidden="false" customHeight="false" outlineLevel="0" collapsed="false">
      <c r="A245" s="12"/>
      <c r="B245" s="12"/>
      <c r="C245" s="12"/>
      <c r="D245" s="18"/>
      <c r="E245" s="14"/>
      <c r="F245" s="19"/>
      <c r="G245" s="17" t="str">
        <f aca="false">IF(E245="","",E245*IF(F245="",1,F245))</f>
        <v/>
      </c>
      <c r="H245" s="12"/>
      <c r="I245" s="12"/>
      <c r="J245" s="12"/>
    </row>
    <row r="246" customFormat="false" ht="15" hidden="false" customHeight="false" outlineLevel="0" collapsed="false">
      <c r="A246" s="12"/>
      <c r="B246" s="12"/>
      <c r="C246" s="12"/>
      <c r="D246" s="18"/>
      <c r="E246" s="14"/>
      <c r="F246" s="19"/>
      <c r="G246" s="17" t="str">
        <f aca="false">IF(E246="","",E246*IF(F246="",1,F246))</f>
        <v/>
      </c>
      <c r="H246" s="12"/>
      <c r="I246" s="12"/>
      <c r="J246" s="12"/>
    </row>
    <row r="247" customFormat="false" ht="15" hidden="false" customHeight="false" outlineLevel="0" collapsed="false">
      <c r="A247" s="12"/>
      <c r="B247" s="12"/>
      <c r="C247" s="12"/>
      <c r="D247" s="18"/>
      <c r="E247" s="14"/>
      <c r="F247" s="19"/>
      <c r="G247" s="17" t="str">
        <f aca="false">IF(E247="","",E247*IF(F247="",1,F247))</f>
        <v/>
      </c>
      <c r="H247" s="12"/>
      <c r="I247" s="12"/>
      <c r="J247" s="12"/>
    </row>
    <row r="248" customFormat="false" ht="15" hidden="false" customHeight="false" outlineLevel="0" collapsed="false">
      <c r="A248" s="12"/>
      <c r="B248" s="12"/>
      <c r="C248" s="12"/>
      <c r="D248" s="18"/>
      <c r="E248" s="14"/>
      <c r="F248" s="19"/>
      <c r="G248" s="17" t="str">
        <f aca="false">IF(E248="","",E248*IF(F248="",1,F248))</f>
        <v/>
      </c>
      <c r="H248" s="12"/>
      <c r="I248" s="12"/>
      <c r="J248" s="12"/>
    </row>
    <row r="249" customFormat="false" ht="15" hidden="false" customHeight="false" outlineLevel="0" collapsed="false">
      <c r="A249" s="12"/>
      <c r="B249" s="12"/>
      <c r="C249" s="12"/>
      <c r="D249" s="18"/>
      <c r="E249" s="14"/>
      <c r="F249" s="19"/>
      <c r="G249" s="17" t="str">
        <f aca="false">IF(E249="","",E249*IF(F249="",1,F249))</f>
        <v/>
      </c>
      <c r="H249" s="12"/>
      <c r="I249" s="12"/>
      <c r="J249" s="12"/>
    </row>
    <row r="250" customFormat="false" ht="15" hidden="false" customHeight="false" outlineLevel="0" collapsed="false">
      <c r="A250" s="12"/>
      <c r="B250" s="12"/>
      <c r="C250" s="12"/>
      <c r="D250" s="18"/>
      <c r="E250" s="14"/>
      <c r="F250" s="19"/>
      <c r="G250" s="17" t="str">
        <f aca="false">IF(E250="","",E250*IF(F250="",1,F250))</f>
        <v/>
      </c>
      <c r="H250" s="12"/>
      <c r="I250" s="12"/>
      <c r="J250" s="12"/>
    </row>
    <row r="251" customFormat="false" ht="15" hidden="false" customHeight="false" outlineLevel="0" collapsed="false">
      <c r="A251" s="12"/>
      <c r="B251" s="12"/>
      <c r="C251" s="12"/>
      <c r="D251" s="18"/>
      <c r="E251" s="14"/>
      <c r="F251" s="19"/>
      <c r="G251" s="17" t="str">
        <f aca="false">IF(E251="","",E251*IF(F251="",1,F251))</f>
        <v/>
      </c>
      <c r="H251" s="12"/>
      <c r="I251" s="12"/>
      <c r="J251" s="12"/>
    </row>
    <row r="252" customFormat="false" ht="15" hidden="false" customHeight="false" outlineLevel="0" collapsed="false">
      <c r="A252" s="12"/>
      <c r="B252" s="12"/>
      <c r="C252" s="12"/>
      <c r="D252" s="18"/>
      <c r="E252" s="14"/>
      <c r="F252" s="19"/>
      <c r="G252" s="17" t="str">
        <f aca="false">IF(E252="","",E252*IF(F252="",1,F252))</f>
        <v/>
      </c>
      <c r="H252" s="12"/>
      <c r="I252" s="12"/>
      <c r="J252" s="12"/>
    </row>
    <row r="253" customFormat="false" ht="15" hidden="false" customHeight="false" outlineLevel="0" collapsed="false">
      <c r="A253" s="12"/>
      <c r="B253" s="12"/>
      <c r="C253" s="12"/>
      <c r="D253" s="18"/>
      <c r="E253" s="14"/>
      <c r="F253" s="19"/>
      <c r="G253" s="17" t="str">
        <f aca="false">IF(E253="","",E253*IF(F253="",1,F253))</f>
        <v/>
      </c>
      <c r="H253" s="12"/>
      <c r="I253" s="12"/>
      <c r="J253" s="12"/>
    </row>
    <row r="254" customFormat="false" ht="15" hidden="false" customHeight="false" outlineLevel="0" collapsed="false">
      <c r="A254" s="12"/>
      <c r="B254" s="12"/>
      <c r="C254" s="12"/>
      <c r="D254" s="18"/>
      <c r="E254" s="14"/>
      <c r="F254" s="19"/>
      <c r="G254" s="17" t="str">
        <f aca="false">IF(E254="","",E254*IF(F254="",1,F254))</f>
        <v/>
      </c>
      <c r="H254" s="12"/>
      <c r="I254" s="12"/>
      <c r="J254" s="12"/>
    </row>
    <row r="255" customFormat="false" ht="15" hidden="false" customHeight="false" outlineLevel="0" collapsed="false">
      <c r="A255" s="12"/>
      <c r="B255" s="12"/>
      <c r="C255" s="12"/>
      <c r="D255" s="18"/>
      <c r="E255" s="14"/>
      <c r="F255" s="19"/>
      <c r="G255" s="17" t="str">
        <f aca="false">IF(E255="","",E255*IF(F255="",1,F255))</f>
        <v/>
      </c>
      <c r="H255" s="12"/>
      <c r="I255" s="12"/>
      <c r="J255" s="12"/>
    </row>
    <row r="256" customFormat="false" ht="15" hidden="false" customHeight="false" outlineLevel="0" collapsed="false">
      <c r="A256" s="12"/>
      <c r="B256" s="12"/>
      <c r="C256" s="12"/>
      <c r="D256" s="18"/>
      <c r="E256" s="14"/>
      <c r="F256" s="19"/>
      <c r="G256" s="17" t="str">
        <f aca="false">IF(E256="","",E256*IF(F256="",1,F256))</f>
        <v/>
      </c>
      <c r="H256" s="12"/>
      <c r="I256" s="12"/>
      <c r="J256" s="12"/>
    </row>
    <row r="257" customFormat="false" ht="15" hidden="false" customHeight="false" outlineLevel="0" collapsed="false">
      <c r="A257" s="12"/>
      <c r="B257" s="12"/>
      <c r="C257" s="12"/>
      <c r="D257" s="18"/>
      <c r="E257" s="14"/>
      <c r="F257" s="19"/>
      <c r="G257" s="17" t="str">
        <f aca="false">IF(E257="","",E257*IF(F257="",1,F257))</f>
        <v/>
      </c>
      <c r="H257" s="12"/>
      <c r="I257" s="12"/>
      <c r="J257" s="12"/>
    </row>
    <row r="258" customFormat="false" ht="15" hidden="false" customHeight="false" outlineLevel="0" collapsed="false">
      <c r="A258" s="12"/>
      <c r="B258" s="12"/>
      <c r="C258" s="12"/>
      <c r="D258" s="18"/>
      <c r="E258" s="14"/>
      <c r="F258" s="19"/>
      <c r="G258" s="17" t="str">
        <f aca="false">IF(E258="","",E258*IF(F258="",1,F258))</f>
        <v/>
      </c>
      <c r="H258" s="12"/>
      <c r="I258" s="12"/>
      <c r="J258" s="12"/>
    </row>
    <row r="259" customFormat="false" ht="15" hidden="false" customHeight="false" outlineLevel="0" collapsed="false">
      <c r="A259" s="12"/>
      <c r="B259" s="12"/>
      <c r="C259" s="12"/>
      <c r="D259" s="18"/>
      <c r="E259" s="14"/>
      <c r="F259" s="19"/>
      <c r="G259" s="17" t="str">
        <f aca="false">IF(E259="","",E259*IF(F259="",1,F259))</f>
        <v/>
      </c>
      <c r="H259" s="12"/>
      <c r="I259" s="12"/>
      <c r="J259" s="12"/>
    </row>
    <row r="260" customFormat="false" ht="15" hidden="false" customHeight="false" outlineLevel="0" collapsed="false">
      <c r="A260" s="12"/>
      <c r="B260" s="12"/>
      <c r="C260" s="12"/>
      <c r="D260" s="18"/>
      <c r="E260" s="14"/>
      <c r="F260" s="19"/>
      <c r="G260" s="17" t="str">
        <f aca="false">IF(E260="","",E260*IF(F260="",1,F260))</f>
        <v/>
      </c>
      <c r="H260" s="12"/>
      <c r="I260" s="12"/>
      <c r="J260" s="12"/>
    </row>
    <row r="261" customFormat="false" ht="15" hidden="false" customHeight="false" outlineLevel="0" collapsed="false">
      <c r="A261" s="12"/>
      <c r="B261" s="12"/>
      <c r="C261" s="12"/>
      <c r="D261" s="18"/>
      <c r="E261" s="14"/>
      <c r="F261" s="19"/>
      <c r="G261" s="17" t="str">
        <f aca="false">IF(E261="","",E261*IF(F261="",1,F261))</f>
        <v/>
      </c>
      <c r="H261" s="12"/>
      <c r="I261" s="12"/>
      <c r="J261" s="12"/>
    </row>
    <row r="262" customFormat="false" ht="15" hidden="false" customHeight="false" outlineLevel="0" collapsed="false">
      <c r="A262" s="12"/>
      <c r="B262" s="12"/>
      <c r="C262" s="12"/>
      <c r="D262" s="18"/>
      <c r="E262" s="14"/>
      <c r="F262" s="19"/>
      <c r="G262" s="17" t="str">
        <f aca="false">IF(E262="","",E262*IF(F262="",1,F262))</f>
        <v/>
      </c>
      <c r="H262" s="12"/>
      <c r="I262" s="12"/>
      <c r="J262" s="12"/>
    </row>
    <row r="263" customFormat="false" ht="15" hidden="false" customHeight="false" outlineLevel="0" collapsed="false">
      <c r="A263" s="12"/>
      <c r="B263" s="12"/>
      <c r="C263" s="12"/>
      <c r="D263" s="18"/>
      <c r="E263" s="14"/>
      <c r="F263" s="19"/>
      <c r="G263" s="17" t="str">
        <f aca="false">IF(E263="","",E263*IF(F263="",1,F263))</f>
        <v/>
      </c>
      <c r="H263" s="12"/>
      <c r="I263" s="12"/>
      <c r="J263" s="12"/>
    </row>
    <row r="264" customFormat="false" ht="15" hidden="false" customHeight="false" outlineLevel="0" collapsed="false">
      <c r="A264" s="12"/>
      <c r="B264" s="12"/>
      <c r="C264" s="12"/>
      <c r="D264" s="18"/>
      <c r="E264" s="14"/>
      <c r="F264" s="19"/>
      <c r="G264" s="17" t="str">
        <f aca="false">IF(E264="","",E264*IF(F264="",1,F264))</f>
        <v/>
      </c>
      <c r="H264" s="12"/>
      <c r="I264" s="12"/>
      <c r="J264" s="12"/>
    </row>
    <row r="265" customFormat="false" ht="15" hidden="false" customHeight="false" outlineLevel="0" collapsed="false">
      <c r="A265" s="12"/>
      <c r="B265" s="12"/>
      <c r="C265" s="12"/>
      <c r="D265" s="18"/>
      <c r="E265" s="14"/>
      <c r="F265" s="19"/>
      <c r="G265" s="17" t="str">
        <f aca="false">IF(E265="","",E265*IF(F265="",1,F265))</f>
        <v/>
      </c>
      <c r="H265" s="12"/>
      <c r="I265" s="12"/>
      <c r="J265" s="12"/>
    </row>
    <row r="266" customFormat="false" ht="15" hidden="false" customHeight="false" outlineLevel="0" collapsed="false">
      <c r="A266" s="12"/>
      <c r="B266" s="12"/>
      <c r="C266" s="12"/>
      <c r="D266" s="18"/>
      <c r="E266" s="14"/>
      <c r="F266" s="19"/>
      <c r="G266" s="17" t="str">
        <f aca="false">IF(E266="","",E266*IF(F266="",1,F266))</f>
        <v/>
      </c>
      <c r="H266" s="12"/>
      <c r="I266" s="12"/>
      <c r="J266" s="12"/>
    </row>
    <row r="267" customFormat="false" ht="15" hidden="false" customHeight="false" outlineLevel="0" collapsed="false">
      <c r="A267" s="12"/>
      <c r="B267" s="12"/>
      <c r="C267" s="12"/>
      <c r="D267" s="18"/>
      <c r="E267" s="14"/>
      <c r="F267" s="19"/>
      <c r="G267" s="17" t="str">
        <f aca="false">IF(E267="","",E267*IF(F267="",1,F267))</f>
        <v/>
      </c>
      <c r="H267" s="12"/>
      <c r="I267" s="12"/>
      <c r="J267" s="12"/>
    </row>
    <row r="268" customFormat="false" ht="15" hidden="false" customHeight="false" outlineLevel="0" collapsed="false">
      <c r="A268" s="12"/>
      <c r="B268" s="12"/>
      <c r="C268" s="12"/>
      <c r="D268" s="18"/>
      <c r="E268" s="14"/>
      <c r="F268" s="19"/>
      <c r="G268" s="17" t="str">
        <f aca="false">IF(E268="","",E268*IF(F268="",1,F268))</f>
        <v/>
      </c>
      <c r="H268" s="12"/>
      <c r="I268" s="12"/>
      <c r="J268" s="12"/>
    </row>
    <row r="269" customFormat="false" ht="15" hidden="false" customHeight="false" outlineLevel="0" collapsed="false">
      <c r="A269" s="12"/>
      <c r="B269" s="12"/>
      <c r="C269" s="12"/>
      <c r="D269" s="18"/>
      <c r="E269" s="14"/>
      <c r="F269" s="19"/>
      <c r="G269" s="17" t="str">
        <f aca="false">IF(E269="","",E269*IF(F269="",1,F269))</f>
        <v/>
      </c>
      <c r="H269" s="12"/>
      <c r="I269" s="12"/>
      <c r="J269" s="12"/>
    </row>
    <row r="270" customFormat="false" ht="15" hidden="false" customHeight="false" outlineLevel="0" collapsed="false">
      <c r="A270" s="12"/>
      <c r="B270" s="12"/>
      <c r="C270" s="12"/>
      <c r="D270" s="18"/>
      <c r="E270" s="14"/>
      <c r="F270" s="19"/>
      <c r="G270" s="17" t="str">
        <f aca="false">IF(E270="","",E270*IF(F270="",1,F270))</f>
        <v/>
      </c>
      <c r="H270" s="12"/>
      <c r="I270" s="12"/>
      <c r="J270" s="12"/>
    </row>
    <row r="271" customFormat="false" ht="15" hidden="false" customHeight="false" outlineLevel="0" collapsed="false">
      <c r="A271" s="12"/>
      <c r="B271" s="12"/>
      <c r="C271" s="12"/>
      <c r="D271" s="18"/>
      <c r="E271" s="14"/>
      <c r="F271" s="19"/>
      <c r="G271" s="17" t="str">
        <f aca="false">IF(E271="","",E271*IF(F271="",1,F271))</f>
        <v/>
      </c>
      <c r="H271" s="12"/>
      <c r="I271" s="12"/>
      <c r="J271" s="12"/>
    </row>
    <row r="272" customFormat="false" ht="15" hidden="false" customHeight="false" outlineLevel="0" collapsed="false">
      <c r="A272" s="12"/>
      <c r="B272" s="12"/>
      <c r="C272" s="12"/>
      <c r="D272" s="18"/>
      <c r="E272" s="14"/>
      <c r="F272" s="19"/>
      <c r="G272" s="17" t="str">
        <f aca="false">IF(E272="","",E272*IF(F272="",1,F272))</f>
        <v/>
      </c>
      <c r="H272" s="12"/>
      <c r="I272" s="12"/>
      <c r="J272" s="12"/>
    </row>
    <row r="273" customFormat="false" ht="15" hidden="false" customHeight="false" outlineLevel="0" collapsed="false">
      <c r="A273" s="12"/>
      <c r="B273" s="12"/>
      <c r="C273" s="12"/>
      <c r="D273" s="18"/>
      <c r="E273" s="14"/>
      <c r="F273" s="19"/>
      <c r="G273" s="17" t="str">
        <f aca="false">IF(E273="","",E273*IF(F273="",1,F273))</f>
        <v/>
      </c>
      <c r="H273" s="12"/>
      <c r="I273" s="12"/>
      <c r="J273" s="12"/>
    </row>
    <row r="274" customFormat="false" ht="15" hidden="false" customHeight="false" outlineLevel="0" collapsed="false">
      <c r="A274" s="12"/>
      <c r="B274" s="12"/>
      <c r="C274" s="12"/>
      <c r="D274" s="18"/>
      <c r="E274" s="14"/>
      <c r="F274" s="19"/>
      <c r="G274" s="17" t="str">
        <f aca="false">IF(E274="","",E274*IF(F274="",1,F274))</f>
        <v/>
      </c>
      <c r="H274" s="12"/>
      <c r="I274" s="12"/>
      <c r="J274" s="12"/>
    </row>
    <row r="275" customFormat="false" ht="15" hidden="false" customHeight="false" outlineLevel="0" collapsed="false">
      <c r="A275" s="12"/>
      <c r="B275" s="12"/>
      <c r="C275" s="12"/>
      <c r="D275" s="18"/>
      <c r="E275" s="14"/>
      <c r="F275" s="19"/>
      <c r="G275" s="17" t="str">
        <f aca="false">IF(E275="","",E275*IF(F275="",1,F275))</f>
        <v/>
      </c>
      <c r="H275" s="12"/>
      <c r="I275" s="12"/>
      <c r="J275" s="12"/>
    </row>
    <row r="276" customFormat="false" ht="15" hidden="false" customHeight="false" outlineLevel="0" collapsed="false">
      <c r="A276" s="12"/>
      <c r="B276" s="12"/>
      <c r="C276" s="12"/>
      <c r="D276" s="18"/>
      <c r="E276" s="14"/>
      <c r="F276" s="19"/>
      <c r="G276" s="17" t="str">
        <f aca="false">IF(E276="","",E276*IF(F276="",1,F276))</f>
        <v/>
      </c>
      <c r="H276" s="12"/>
      <c r="I276" s="12"/>
      <c r="J276" s="12"/>
    </row>
    <row r="277" customFormat="false" ht="15" hidden="false" customHeight="false" outlineLevel="0" collapsed="false">
      <c r="A277" s="12"/>
      <c r="B277" s="12"/>
      <c r="C277" s="12"/>
      <c r="D277" s="18"/>
      <c r="E277" s="14"/>
      <c r="F277" s="19"/>
      <c r="G277" s="17" t="str">
        <f aca="false">IF(E277="","",E277*IF(F277="",1,F277))</f>
        <v/>
      </c>
      <c r="H277" s="12"/>
      <c r="I277" s="12"/>
      <c r="J277" s="12"/>
    </row>
    <row r="278" customFormat="false" ht="15" hidden="false" customHeight="false" outlineLevel="0" collapsed="false">
      <c r="A278" s="12"/>
      <c r="B278" s="12"/>
      <c r="C278" s="12"/>
      <c r="D278" s="18"/>
      <c r="E278" s="14"/>
      <c r="F278" s="19"/>
      <c r="G278" s="17" t="str">
        <f aca="false">IF(E278="","",E278*IF(F278="",1,F278))</f>
        <v/>
      </c>
      <c r="H278" s="12"/>
      <c r="I278" s="12"/>
      <c r="J278" s="12"/>
    </row>
    <row r="279" customFormat="false" ht="15" hidden="false" customHeight="false" outlineLevel="0" collapsed="false">
      <c r="A279" s="12"/>
      <c r="B279" s="12"/>
      <c r="C279" s="12"/>
      <c r="D279" s="18"/>
      <c r="E279" s="14"/>
      <c r="F279" s="19"/>
      <c r="G279" s="17" t="str">
        <f aca="false">IF(E279="","",E279*IF(F279="",1,F279))</f>
        <v/>
      </c>
      <c r="H279" s="12"/>
      <c r="I279" s="12"/>
      <c r="J279" s="12"/>
    </row>
    <row r="280" customFormat="false" ht="15" hidden="false" customHeight="false" outlineLevel="0" collapsed="false">
      <c r="A280" s="12"/>
      <c r="B280" s="12"/>
      <c r="C280" s="12"/>
      <c r="D280" s="18"/>
      <c r="E280" s="14"/>
      <c r="F280" s="19"/>
      <c r="G280" s="17" t="str">
        <f aca="false">IF(E280="","",E280*IF(F280="",1,F280))</f>
        <v/>
      </c>
      <c r="H280" s="12"/>
      <c r="I280" s="12"/>
      <c r="J280" s="12"/>
    </row>
    <row r="281" customFormat="false" ht="15" hidden="false" customHeight="false" outlineLevel="0" collapsed="false">
      <c r="A281" s="12"/>
      <c r="B281" s="12"/>
      <c r="C281" s="12"/>
      <c r="D281" s="18"/>
      <c r="E281" s="14"/>
      <c r="F281" s="19"/>
      <c r="G281" s="17" t="str">
        <f aca="false">IF(E281="","",E281*IF(F281="",1,F281))</f>
        <v/>
      </c>
      <c r="H281" s="12"/>
      <c r="I281" s="12"/>
      <c r="J281" s="12"/>
    </row>
    <row r="282" customFormat="false" ht="15" hidden="false" customHeight="false" outlineLevel="0" collapsed="false">
      <c r="A282" s="12"/>
      <c r="B282" s="12"/>
      <c r="C282" s="12"/>
      <c r="D282" s="18"/>
      <c r="E282" s="14"/>
      <c r="F282" s="19"/>
      <c r="G282" s="17" t="str">
        <f aca="false">IF(E282="","",E282*IF(F282="",1,F282))</f>
        <v/>
      </c>
      <c r="H282" s="12"/>
      <c r="I282" s="12"/>
      <c r="J282" s="12"/>
    </row>
    <row r="283" customFormat="false" ht="15" hidden="false" customHeight="false" outlineLevel="0" collapsed="false">
      <c r="A283" s="12"/>
      <c r="B283" s="12"/>
      <c r="C283" s="12"/>
      <c r="D283" s="18"/>
      <c r="E283" s="14"/>
      <c r="F283" s="19"/>
      <c r="G283" s="17" t="str">
        <f aca="false">IF(E283="","",E283*IF(F283="",1,F283))</f>
        <v/>
      </c>
      <c r="H283" s="12"/>
      <c r="I283" s="12"/>
      <c r="J283" s="12"/>
    </row>
    <row r="284" customFormat="false" ht="15" hidden="false" customHeight="false" outlineLevel="0" collapsed="false">
      <c r="A284" s="12"/>
      <c r="B284" s="12"/>
      <c r="C284" s="12"/>
      <c r="D284" s="18"/>
      <c r="E284" s="14"/>
      <c r="F284" s="19"/>
      <c r="G284" s="17" t="str">
        <f aca="false">IF(E284="","",E284*IF(F284="",1,F284))</f>
        <v/>
      </c>
      <c r="H284" s="12"/>
      <c r="I284" s="12"/>
      <c r="J284" s="12"/>
    </row>
    <row r="285" customFormat="false" ht="15" hidden="false" customHeight="false" outlineLevel="0" collapsed="false">
      <c r="A285" s="12"/>
      <c r="B285" s="12"/>
      <c r="C285" s="12"/>
      <c r="D285" s="18"/>
      <c r="E285" s="14"/>
      <c r="F285" s="19"/>
      <c r="G285" s="17" t="str">
        <f aca="false">IF(E285="","",E285*IF(F285="",1,F285))</f>
        <v/>
      </c>
      <c r="H285" s="12"/>
      <c r="I285" s="12"/>
      <c r="J285" s="12"/>
    </row>
    <row r="286" customFormat="false" ht="15" hidden="false" customHeight="false" outlineLevel="0" collapsed="false">
      <c r="A286" s="12"/>
      <c r="B286" s="12"/>
      <c r="C286" s="12"/>
      <c r="D286" s="18"/>
      <c r="E286" s="14"/>
      <c r="F286" s="19"/>
      <c r="G286" s="17" t="str">
        <f aca="false">IF(E286="","",E286*IF(F286="",1,F286))</f>
        <v/>
      </c>
      <c r="H286" s="12"/>
      <c r="I286" s="12"/>
      <c r="J286" s="12"/>
    </row>
    <row r="287" customFormat="false" ht="15" hidden="false" customHeight="false" outlineLevel="0" collapsed="false">
      <c r="A287" s="12"/>
      <c r="B287" s="12"/>
      <c r="C287" s="12"/>
      <c r="D287" s="18"/>
      <c r="E287" s="14"/>
      <c r="F287" s="19"/>
      <c r="G287" s="17" t="str">
        <f aca="false">IF(E287="","",E287*IF(F287="",1,F287))</f>
        <v/>
      </c>
      <c r="H287" s="12"/>
      <c r="I287" s="12"/>
      <c r="J287" s="12"/>
    </row>
    <row r="288" customFormat="false" ht="15" hidden="false" customHeight="false" outlineLevel="0" collapsed="false">
      <c r="A288" s="12"/>
      <c r="B288" s="12"/>
      <c r="C288" s="12"/>
      <c r="D288" s="18"/>
      <c r="E288" s="14"/>
      <c r="F288" s="19"/>
      <c r="G288" s="17" t="str">
        <f aca="false">IF(E288="","",E288*IF(F288="",1,F288))</f>
        <v/>
      </c>
      <c r="H288" s="12"/>
      <c r="I288" s="12"/>
      <c r="J288" s="12"/>
    </row>
    <row r="289" customFormat="false" ht="15" hidden="false" customHeight="false" outlineLevel="0" collapsed="false">
      <c r="A289" s="12"/>
      <c r="B289" s="12"/>
      <c r="C289" s="12"/>
      <c r="D289" s="18"/>
      <c r="E289" s="14"/>
      <c r="F289" s="19"/>
      <c r="G289" s="17" t="str">
        <f aca="false">IF(E289="","",E289*IF(F289="",1,F289))</f>
        <v/>
      </c>
      <c r="H289" s="12"/>
      <c r="I289" s="12"/>
      <c r="J289" s="12"/>
    </row>
    <row r="290" customFormat="false" ht="15" hidden="false" customHeight="false" outlineLevel="0" collapsed="false">
      <c r="A290" s="12"/>
      <c r="B290" s="12"/>
      <c r="C290" s="12"/>
      <c r="D290" s="18"/>
      <c r="E290" s="14"/>
      <c r="F290" s="19"/>
      <c r="G290" s="17" t="str">
        <f aca="false">IF(E290="","",E290*IF(F290="",1,F290))</f>
        <v/>
      </c>
      <c r="H290" s="12"/>
      <c r="I290" s="12"/>
      <c r="J290" s="12"/>
    </row>
    <row r="291" customFormat="false" ht="15" hidden="false" customHeight="false" outlineLevel="0" collapsed="false">
      <c r="A291" s="12"/>
      <c r="B291" s="12"/>
      <c r="C291" s="12"/>
      <c r="D291" s="18"/>
      <c r="E291" s="14"/>
      <c r="F291" s="19"/>
      <c r="G291" s="17" t="str">
        <f aca="false">IF(E291="","",E291*IF(F291="",1,F291))</f>
        <v/>
      </c>
      <c r="H291" s="12"/>
      <c r="I291" s="12"/>
      <c r="J291" s="12"/>
    </row>
    <row r="292" customFormat="false" ht="15" hidden="false" customHeight="false" outlineLevel="0" collapsed="false">
      <c r="A292" s="12"/>
      <c r="B292" s="12"/>
      <c r="C292" s="12"/>
      <c r="D292" s="18"/>
      <c r="E292" s="14"/>
      <c r="F292" s="19"/>
      <c r="G292" s="17" t="str">
        <f aca="false">IF(E292="","",E292*IF(F292="",1,F292))</f>
        <v/>
      </c>
      <c r="H292" s="12"/>
      <c r="I292" s="12"/>
      <c r="J292" s="12"/>
    </row>
    <row r="293" customFormat="false" ht="15" hidden="false" customHeight="false" outlineLevel="0" collapsed="false">
      <c r="A293" s="12"/>
      <c r="B293" s="12"/>
      <c r="C293" s="12"/>
      <c r="D293" s="18"/>
      <c r="E293" s="14"/>
      <c r="F293" s="19"/>
      <c r="G293" s="17" t="str">
        <f aca="false">IF(E293="","",E293*IF(F293="",1,F293))</f>
        <v/>
      </c>
      <c r="H293" s="12"/>
      <c r="I293" s="12"/>
      <c r="J293" s="12"/>
    </row>
    <row r="294" customFormat="false" ht="15" hidden="false" customHeight="false" outlineLevel="0" collapsed="false">
      <c r="A294" s="12"/>
      <c r="B294" s="12"/>
      <c r="C294" s="12"/>
      <c r="D294" s="18"/>
      <c r="E294" s="14"/>
      <c r="F294" s="19"/>
      <c r="G294" s="17" t="str">
        <f aca="false">IF(E294="","",E294*IF(F294="",1,F294))</f>
        <v/>
      </c>
      <c r="H294" s="12"/>
      <c r="I294" s="12"/>
      <c r="J294" s="12"/>
    </row>
    <row r="295" customFormat="false" ht="15" hidden="false" customHeight="false" outlineLevel="0" collapsed="false">
      <c r="A295" s="12"/>
      <c r="B295" s="12"/>
      <c r="C295" s="12"/>
      <c r="D295" s="18"/>
      <c r="E295" s="14"/>
      <c r="F295" s="19"/>
      <c r="G295" s="17" t="str">
        <f aca="false">IF(E295="","",E295*IF(F295="",1,F295))</f>
        <v/>
      </c>
      <c r="H295" s="12"/>
      <c r="I295" s="12"/>
      <c r="J295" s="12"/>
    </row>
    <row r="296" customFormat="false" ht="15" hidden="false" customHeight="false" outlineLevel="0" collapsed="false">
      <c r="A296" s="12"/>
      <c r="B296" s="12"/>
      <c r="C296" s="12"/>
      <c r="D296" s="18"/>
      <c r="E296" s="14"/>
      <c r="F296" s="19"/>
      <c r="G296" s="17" t="str">
        <f aca="false">IF(E296="","",E296*IF(F296="",1,F296))</f>
        <v/>
      </c>
      <c r="H296" s="12"/>
      <c r="I296" s="12"/>
      <c r="J296" s="12"/>
    </row>
    <row r="297" customFormat="false" ht="15" hidden="false" customHeight="false" outlineLevel="0" collapsed="false">
      <c r="A297" s="12"/>
      <c r="B297" s="12"/>
      <c r="C297" s="12"/>
      <c r="D297" s="18"/>
      <c r="E297" s="14"/>
      <c r="F297" s="19"/>
      <c r="G297" s="17" t="str">
        <f aca="false">IF(E297="","",E297*IF(F297="",1,F297))</f>
        <v/>
      </c>
      <c r="H297" s="12"/>
      <c r="I297" s="12"/>
      <c r="J297" s="12"/>
    </row>
    <row r="298" customFormat="false" ht="15" hidden="false" customHeight="false" outlineLevel="0" collapsed="false">
      <c r="A298" s="12"/>
      <c r="B298" s="12"/>
      <c r="C298" s="12"/>
      <c r="D298" s="18"/>
      <c r="E298" s="14"/>
      <c r="F298" s="19"/>
      <c r="G298" s="17" t="str">
        <f aca="false">IF(E298="","",E298*IF(F298="",1,F298))</f>
        <v/>
      </c>
      <c r="H298" s="12"/>
      <c r="I298" s="12"/>
      <c r="J298" s="12"/>
    </row>
    <row r="299" customFormat="false" ht="15" hidden="false" customHeight="false" outlineLevel="0" collapsed="false">
      <c r="A299" s="12"/>
      <c r="B299" s="12"/>
      <c r="C299" s="12"/>
      <c r="D299" s="18"/>
      <c r="E299" s="14"/>
      <c r="F299" s="19"/>
      <c r="G299" s="17" t="str">
        <f aca="false">IF(E299="","",E299*IF(F299="",1,F299))</f>
        <v/>
      </c>
      <c r="H299" s="12"/>
      <c r="I299" s="12"/>
      <c r="J299" s="12"/>
    </row>
    <row r="300" customFormat="false" ht="15" hidden="false" customHeight="false" outlineLevel="0" collapsed="false">
      <c r="A300" s="12"/>
      <c r="B300" s="12"/>
      <c r="C300" s="12"/>
      <c r="D300" s="18"/>
      <c r="E300" s="14"/>
      <c r="F300" s="19"/>
      <c r="G300" s="17" t="str">
        <f aca="false">IF(E300="","",E300*IF(F300="",1,F300))</f>
        <v/>
      </c>
      <c r="H300" s="12"/>
      <c r="I300" s="12"/>
      <c r="J300" s="12"/>
    </row>
    <row r="301" customFormat="false" ht="15" hidden="false" customHeight="false" outlineLevel="0" collapsed="false">
      <c r="A301" s="12"/>
      <c r="B301" s="12"/>
      <c r="C301" s="12"/>
      <c r="D301" s="18"/>
      <c r="E301" s="14"/>
      <c r="F301" s="19"/>
      <c r="G301" s="17" t="str">
        <f aca="false">IF(E301="","",E301*IF(F301="",1,F301))</f>
        <v/>
      </c>
      <c r="H301" s="12"/>
      <c r="I301" s="12"/>
      <c r="J301" s="12"/>
    </row>
  </sheetData>
  <dataValidations count="2">
    <dataValidation allowBlank="true" errorStyle="stop" operator="between" showDropDown="false" showErrorMessage="false" showInputMessage="false" sqref="B2:B301" type="list">
      <formula1>"I,II,III,IV,V"</formula1>
      <formula2>0</formula2>
    </dataValidation>
    <dataValidation allowBlank="true" errorStyle="stop" operator="between" showDropDown="false" showErrorMessage="false" showInputMessage="false" sqref="H2:H301" type="list">
      <formula1>"Válido,Excluído"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20"/>
    <col collapsed="false" customWidth="true" hidden="false" outlineLevel="0" max="3" min="3" style="0" width="30"/>
    <col collapsed="false" customWidth="true" hidden="false" outlineLevel="0" max="5" min="4" style="0" width="15"/>
    <col collapsed="false" customWidth="true" hidden="false" outlineLevel="0" max="6" min="6" style="0" width="12"/>
    <col collapsed="false" customWidth="true" hidden="false" outlineLevel="0" max="7" min="7" style="0" width="46"/>
    <col collapsed="false" customWidth="true" hidden="false" outlineLevel="0" max="8" min="8" style="0" width="34"/>
  </cols>
  <sheetData>
    <row r="1" customFormat="false" ht="42" hidden="false" customHeight="true" outlineLevel="0" collapsed="false">
      <c r="A1" s="8" t="s">
        <v>61</v>
      </c>
      <c r="B1" s="8" t="s">
        <v>62</v>
      </c>
      <c r="C1" s="8" t="s">
        <v>63</v>
      </c>
      <c r="D1" s="8" t="s">
        <v>64</v>
      </c>
      <c r="E1" s="8" t="s">
        <v>65</v>
      </c>
      <c r="F1" s="8" t="s">
        <v>66</v>
      </c>
      <c r="G1" s="8" t="s">
        <v>67</v>
      </c>
      <c r="H1" s="8" t="s">
        <v>68</v>
      </c>
    </row>
    <row r="2" customFormat="false" ht="15" hidden="false" customHeight="false" outlineLevel="0" collapsed="false">
      <c r="A2" s="9" t="s">
        <v>69</v>
      </c>
      <c r="B2" s="9" t="s">
        <v>70</v>
      </c>
      <c r="C2" s="9" t="s">
        <v>71</v>
      </c>
      <c r="D2" s="15"/>
      <c r="E2" s="15"/>
      <c r="F2" s="9" t="s">
        <v>72</v>
      </c>
      <c r="G2" s="9" t="s">
        <v>73</v>
      </c>
      <c r="H2" s="9" t="s">
        <v>60</v>
      </c>
    </row>
    <row r="3" customFormat="false" ht="15" hidden="false" customHeight="false" outlineLevel="0" collapsed="false">
      <c r="A3" s="12"/>
      <c r="B3" s="12"/>
      <c r="C3" s="12"/>
      <c r="D3" s="18"/>
      <c r="E3" s="18"/>
      <c r="F3" s="12"/>
      <c r="G3" s="12"/>
      <c r="H3" s="12"/>
    </row>
    <row r="4" customFormat="false" ht="15" hidden="false" customHeight="false" outlineLevel="0" collapsed="false">
      <c r="A4" s="12"/>
      <c r="B4" s="12"/>
      <c r="C4" s="12"/>
      <c r="D4" s="18"/>
      <c r="E4" s="18"/>
      <c r="F4" s="12"/>
      <c r="G4" s="12"/>
      <c r="H4" s="12"/>
    </row>
    <row r="5" customFormat="false" ht="15" hidden="false" customHeight="false" outlineLevel="0" collapsed="false">
      <c r="A5" s="12"/>
      <c r="B5" s="12"/>
      <c r="C5" s="12"/>
      <c r="D5" s="18"/>
      <c r="E5" s="18"/>
      <c r="F5" s="12"/>
      <c r="G5" s="12"/>
      <c r="H5" s="12"/>
    </row>
    <row r="6" customFormat="false" ht="15" hidden="false" customHeight="false" outlineLevel="0" collapsed="false">
      <c r="A6" s="12"/>
      <c r="B6" s="12"/>
      <c r="C6" s="12"/>
      <c r="D6" s="18"/>
      <c r="E6" s="18"/>
      <c r="F6" s="12"/>
      <c r="G6" s="12"/>
      <c r="H6" s="12"/>
    </row>
    <row r="7" customFormat="false" ht="15" hidden="false" customHeight="false" outlineLevel="0" collapsed="false">
      <c r="A7" s="12"/>
      <c r="B7" s="12"/>
      <c r="C7" s="12"/>
      <c r="D7" s="18"/>
      <c r="E7" s="18"/>
      <c r="F7" s="12"/>
      <c r="G7" s="12"/>
      <c r="H7" s="12"/>
    </row>
    <row r="8" customFormat="false" ht="15" hidden="false" customHeight="false" outlineLevel="0" collapsed="false">
      <c r="A8" s="12"/>
      <c r="B8" s="12"/>
      <c r="C8" s="12"/>
      <c r="D8" s="18"/>
      <c r="E8" s="18"/>
      <c r="F8" s="12"/>
      <c r="G8" s="12"/>
      <c r="H8" s="12"/>
    </row>
    <row r="9" customFormat="false" ht="15" hidden="false" customHeight="false" outlineLevel="0" collapsed="false">
      <c r="A9" s="12"/>
      <c r="B9" s="12"/>
      <c r="C9" s="12"/>
      <c r="D9" s="18"/>
      <c r="E9" s="18"/>
      <c r="F9" s="12"/>
      <c r="G9" s="12"/>
      <c r="H9" s="12"/>
    </row>
    <row r="10" customFormat="false" ht="15" hidden="false" customHeight="false" outlineLevel="0" collapsed="false">
      <c r="A10" s="12"/>
      <c r="B10" s="12"/>
      <c r="C10" s="12"/>
      <c r="D10" s="18"/>
      <c r="E10" s="18"/>
      <c r="F10" s="12"/>
      <c r="G10" s="12"/>
      <c r="H10" s="12"/>
    </row>
    <row r="11" customFormat="false" ht="15" hidden="false" customHeight="false" outlineLevel="0" collapsed="false">
      <c r="A11" s="12"/>
      <c r="B11" s="12"/>
      <c r="C11" s="12"/>
      <c r="D11" s="18"/>
      <c r="E11" s="18"/>
      <c r="F11" s="12"/>
      <c r="G11" s="12"/>
      <c r="H11" s="12"/>
    </row>
    <row r="12" customFormat="false" ht="15" hidden="false" customHeight="false" outlineLevel="0" collapsed="false">
      <c r="A12" s="12"/>
      <c r="B12" s="12"/>
      <c r="C12" s="12"/>
      <c r="D12" s="18"/>
      <c r="E12" s="18"/>
      <c r="F12" s="12"/>
      <c r="G12" s="12"/>
      <c r="H12" s="12"/>
    </row>
    <row r="13" customFormat="false" ht="15" hidden="false" customHeight="false" outlineLevel="0" collapsed="false">
      <c r="A13" s="12"/>
      <c r="B13" s="12"/>
      <c r="C13" s="12"/>
      <c r="D13" s="18"/>
      <c r="E13" s="18"/>
      <c r="F13" s="12"/>
      <c r="G13" s="12"/>
      <c r="H13" s="12"/>
    </row>
    <row r="14" customFormat="false" ht="15" hidden="false" customHeight="false" outlineLevel="0" collapsed="false">
      <c r="A14" s="12"/>
      <c r="B14" s="12"/>
      <c r="C14" s="12"/>
      <c r="D14" s="18"/>
      <c r="E14" s="18"/>
      <c r="F14" s="12"/>
      <c r="G14" s="12"/>
      <c r="H14" s="12"/>
    </row>
    <row r="15" customFormat="false" ht="15" hidden="false" customHeight="false" outlineLevel="0" collapsed="false">
      <c r="A15" s="12"/>
      <c r="B15" s="12"/>
      <c r="C15" s="12"/>
      <c r="D15" s="18"/>
      <c r="E15" s="18"/>
      <c r="F15" s="12"/>
      <c r="G15" s="12"/>
      <c r="H15" s="12"/>
    </row>
    <row r="16" customFormat="false" ht="15" hidden="false" customHeight="false" outlineLevel="0" collapsed="false">
      <c r="A16" s="12"/>
      <c r="B16" s="12"/>
      <c r="C16" s="12"/>
      <c r="D16" s="18"/>
      <c r="E16" s="18"/>
      <c r="F16" s="12"/>
      <c r="G16" s="12"/>
      <c r="H16" s="12"/>
    </row>
    <row r="17" customFormat="false" ht="15" hidden="false" customHeight="false" outlineLevel="0" collapsed="false">
      <c r="A17" s="12"/>
      <c r="B17" s="12"/>
      <c r="C17" s="12"/>
      <c r="D17" s="18"/>
      <c r="E17" s="18"/>
      <c r="F17" s="12"/>
      <c r="G17" s="12"/>
      <c r="H17" s="12"/>
    </row>
    <row r="18" customFormat="false" ht="15" hidden="false" customHeight="false" outlineLevel="0" collapsed="false">
      <c r="A18" s="12"/>
      <c r="B18" s="12"/>
      <c r="C18" s="12"/>
      <c r="D18" s="18"/>
      <c r="E18" s="18"/>
      <c r="F18" s="12"/>
      <c r="G18" s="12"/>
      <c r="H18" s="12"/>
    </row>
    <row r="19" customFormat="false" ht="15" hidden="false" customHeight="false" outlineLevel="0" collapsed="false">
      <c r="A19" s="12"/>
      <c r="B19" s="12"/>
      <c r="C19" s="12"/>
      <c r="D19" s="18"/>
      <c r="E19" s="18"/>
      <c r="F19" s="12"/>
      <c r="G19" s="12"/>
      <c r="H19" s="12"/>
    </row>
    <row r="20" customFormat="false" ht="15" hidden="false" customHeight="false" outlineLevel="0" collapsed="false">
      <c r="A20" s="12"/>
      <c r="B20" s="12"/>
      <c r="C20" s="12"/>
      <c r="D20" s="18"/>
      <c r="E20" s="18"/>
      <c r="F20" s="12"/>
      <c r="G20" s="12"/>
      <c r="H20" s="12"/>
    </row>
    <row r="21" customFormat="false" ht="15" hidden="false" customHeight="false" outlineLevel="0" collapsed="false">
      <c r="A21" s="12"/>
      <c r="B21" s="12"/>
      <c r="C21" s="12"/>
      <c r="D21" s="18"/>
      <c r="E21" s="18"/>
      <c r="F21" s="12"/>
      <c r="G21" s="12"/>
      <c r="H21" s="12"/>
    </row>
    <row r="22" customFormat="false" ht="15" hidden="false" customHeight="false" outlineLevel="0" collapsed="false">
      <c r="A22" s="12"/>
      <c r="B22" s="12"/>
      <c r="C22" s="12"/>
      <c r="D22" s="18"/>
      <c r="E22" s="18"/>
      <c r="F22" s="12"/>
      <c r="G22" s="12"/>
      <c r="H22" s="12"/>
    </row>
    <row r="23" customFormat="false" ht="15" hidden="false" customHeight="false" outlineLevel="0" collapsed="false">
      <c r="A23" s="12"/>
      <c r="B23" s="12"/>
      <c r="C23" s="12"/>
      <c r="D23" s="18"/>
      <c r="E23" s="18"/>
      <c r="F23" s="12"/>
      <c r="G23" s="12"/>
      <c r="H23" s="12"/>
    </row>
    <row r="24" customFormat="false" ht="15" hidden="false" customHeight="false" outlineLevel="0" collapsed="false">
      <c r="A24" s="12"/>
      <c r="B24" s="12"/>
      <c r="C24" s="12"/>
      <c r="D24" s="18"/>
      <c r="E24" s="18"/>
      <c r="F24" s="12"/>
      <c r="G24" s="12"/>
      <c r="H24" s="12"/>
    </row>
    <row r="25" customFormat="false" ht="15" hidden="false" customHeight="false" outlineLevel="0" collapsed="false">
      <c r="A25" s="12"/>
      <c r="B25" s="12"/>
      <c r="C25" s="12"/>
      <c r="D25" s="18"/>
      <c r="E25" s="18"/>
      <c r="F25" s="12"/>
      <c r="G25" s="12"/>
      <c r="H25" s="12"/>
    </row>
    <row r="26" customFormat="false" ht="15" hidden="false" customHeight="false" outlineLevel="0" collapsed="false">
      <c r="A26" s="12"/>
      <c r="B26" s="12"/>
      <c r="C26" s="12"/>
      <c r="D26" s="18"/>
      <c r="E26" s="18"/>
      <c r="F26" s="12"/>
      <c r="G26" s="12"/>
      <c r="H26" s="12"/>
    </row>
    <row r="27" customFormat="false" ht="15" hidden="false" customHeight="false" outlineLevel="0" collapsed="false">
      <c r="A27" s="12"/>
      <c r="B27" s="12"/>
      <c r="C27" s="12"/>
      <c r="D27" s="18"/>
      <c r="E27" s="18"/>
      <c r="F27" s="12"/>
      <c r="G27" s="12"/>
      <c r="H27" s="12"/>
    </row>
    <row r="28" customFormat="false" ht="15" hidden="false" customHeight="false" outlineLevel="0" collapsed="false">
      <c r="A28" s="12"/>
      <c r="B28" s="12"/>
      <c r="C28" s="12"/>
      <c r="D28" s="18"/>
      <c r="E28" s="18"/>
      <c r="F28" s="12"/>
      <c r="G28" s="12"/>
      <c r="H28" s="12"/>
    </row>
    <row r="29" customFormat="false" ht="15" hidden="false" customHeight="false" outlineLevel="0" collapsed="false">
      <c r="A29" s="12"/>
      <c r="B29" s="12"/>
      <c r="C29" s="12"/>
      <c r="D29" s="18"/>
      <c r="E29" s="18"/>
      <c r="F29" s="12"/>
      <c r="G29" s="12"/>
      <c r="H29" s="12"/>
    </row>
    <row r="30" customFormat="false" ht="15" hidden="false" customHeight="false" outlineLevel="0" collapsed="false">
      <c r="A30" s="12"/>
      <c r="B30" s="12"/>
      <c r="C30" s="12"/>
      <c r="D30" s="18"/>
      <c r="E30" s="18"/>
      <c r="F30" s="12"/>
      <c r="G30" s="12"/>
      <c r="H30" s="12"/>
    </row>
    <row r="31" customFormat="false" ht="15" hidden="false" customHeight="false" outlineLevel="0" collapsed="false">
      <c r="A31" s="12"/>
      <c r="B31" s="12"/>
      <c r="C31" s="12"/>
      <c r="D31" s="18"/>
      <c r="E31" s="18"/>
      <c r="F31" s="12"/>
      <c r="G31" s="12"/>
      <c r="H31" s="12"/>
    </row>
    <row r="32" customFormat="false" ht="15" hidden="false" customHeight="false" outlineLevel="0" collapsed="false">
      <c r="A32" s="12"/>
      <c r="B32" s="12"/>
      <c r="C32" s="12"/>
      <c r="D32" s="18"/>
      <c r="E32" s="18"/>
      <c r="F32" s="12"/>
      <c r="G32" s="12"/>
      <c r="H32" s="12"/>
    </row>
    <row r="33" customFormat="false" ht="15" hidden="false" customHeight="false" outlineLevel="0" collapsed="false">
      <c r="A33" s="12"/>
      <c r="B33" s="12"/>
      <c r="C33" s="12"/>
      <c r="D33" s="18"/>
      <c r="E33" s="18"/>
      <c r="F33" s="12"/>
      <c r="G33" s="12"/>
      <c r="H33" s="12"/>
    </row>
    <row r="34" customFormat="false" ht="15" hidden="false" customHeight="false" outlineLevel="0" collapsed="false">
      <c r="A34" s="12"/>
      <c r="B34" s="12"/>
      <c r="C34" s="12"/>
      <c r="D34" s="18"/>
      <c r="E34" s="18"/>
      <c r="F34" s="12"/>
      <c r="G34" s="12"/>
      <c r="H34" s="12"/>
    </row>
    <row r="35" customFormat="false" ht="15" hidden="false" customHeight="false" outlineLevel="0" collapsed="false">
      <c r="A35" s="12"/>
      <c r="B35" s="12"/>
      <c r="C35" s="12"/>
      <c r="D35" s="18"/>
      <c r="E35" s="18"/>
      <c r="F35" s="12"/>
      <c r="G35" s="12"/>
      <c r="H35" s="12"/>
    </row>
    <row r="36" customFormat="false" ht="15" hidden="false" customHeight="false" outlineLevel="0" collapsed="false">
      <c r="A36" s="12"/>
      <c r="B36" s="12"/>
      <c r="C36" s="12"/>
      <c r="D36" s="18"/>
      <c r="E36" s="18"/>
      <c r="F36" s="12"/>
      <c r="G36" s="12"/>
      <c r="H36" s="12"/>
    </row>
    <row r="37" customFormat="false" ht="15" hidden="false" customHeight="false" outlineLevel="0" collapsed="false">
      <c r="A37" s="12"/>
      <c r="B37" s="12"/>
      <c r="C37" s="12"/>
      <c r="D37" s="18"/>
      <c r="E37" s="18"/>
      <c r="F37" s="12"/>
      <c r="G37" s="12"/>
      <c r="H37" s="12"/>
    </row>
    <row r="38" customFormat="false" ht="15" hidden="false" customHeight="false" outlineLevel="0" collapsed="false">
      <c r="A38" s="12"/>
      <c r="B38" s="12"/>
      <c r="C38" s="12"/>
      <c r="D38" s="18"/>
      <c r="E38" s="18"/>
      <c r="F38" s="12"/>
      <c r="G38" s="12"/>
      <c r="H38" s="12"/>
    </row>
    <row r="39" customFormat="false" ht="15" hidden="false" customHeight="false" outlineLevel="0" collapsed="false">
      <c r="A39" s="12"/>
      <c r="B39" s="12"/>
      <c r="C39" s="12"/>
      <c r="D39" s="18"/>
      <c r="E39" s="18"/>
      <c r="F39" s="12"/>
      <c r="G39" s="12"/>
      <c r="H39" s="12"/>
    </row>
    <row r="40" customFormat="false" ht="15" hidden="false" customHeight="false" outlineLevel="0" collapsed="false">
      <c r="A40" s="12"/>
      <c r="B40" s="12"/>
      <c r="C40" s="12"/>
      <c r="D40" s="18"/>
      <c r="E40" s="18"/>
      <c r="F40" s="12"/>
      <c r="G40" s="12"/>
      <c r="H40" s="12"/>
    </row>
    <row r="41" customFormat="false" ht="15" hidden="false" customHeight="false" outlineLevel="0" collapsed="false">
      <c r="A41" s="12"/>
      <c r="B41" s="12"/>
      <c r="C41" s="12"/>
      <c r="D41" s="18"/>
      <c r="E41" s="18"/>
      <c r="F41" s="12"/>
      <c r="G41" s="12"/>
      <c r="H41" s="12"/>
    </row>
  </sheetData>
  <dataValidations count="1">
    <dataValidation allowBlank="true" errorStyle="stop" operator="between" showDropDown="false" showErrorMessage="false" showInputMessage="false" sqref="F2:F41" type="list">
      <formula1>"Sim,Não"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40"/>
    <col collapsed="false" customWidth="true" hidden="false" outlineLevel="0" max="3" min="3" style="0" width="10"/>
    <col collapsed="false" customWidth="true" hidden="false" outlineLevel="0" max="5" min="4" style="0" width="11"/>
    <col collapsed="false" customWidth="true" hidden="false" outlineLevel="0" max="8" min="6" style="0" width="15"/>
    <col collapsed="false" customWidth="true" hidden="false" outlineLevel="0" max="9" min="9" style="0" width="14"/>
    <col collapsed="false" customWidth="true" hidden="false" outlineLevel="0" max="10" min="10" style="0" width="9"/>
    <col collapsed="false" customWidth="true" hidden="false" outlineLevel="0" max="11" min="11" style="0" width="13"/>
    <col collapsed="false" customWidth="true" hidden="false" outlineLevel="0" max="12" min="12" style="0" width="17"/>
    <col collapsed="false" customWidth="true" hidden="false" outlineLevel="0" max="13" min="13" style="0" width="10"/>
    <col collapsed="false" customWidth="true" hidden="false" outlineLevel="0" max="14" min="14" style="0" width="17"/>
    <col collapsed="false" customWidth="true" hidden="false" outlineLevel="0" max="15" min="15" style="0" width="15"/>
    <col collapsed="false" customWidth="true" hidden="false" outlineLevel="0" max="16" min="16" style="0" width="18"/>
    <col collapsed="false" customWidth="true" hidden="false" outlineLevel="0" max="17" min="17" style="0" width="60"/>
  </cols>
  <sheetData>
    <row r="1" customFormat="false" ht="42" hidden="false" customHeight="true" outlineLevel="0" collapsed="false">
      <c r="A1" s="8" t="s">
        <v>28</v>
      </c>
      <c r="B1" s="8" t="s">
        <v>74</v>
      </c>
      <c r="C1" s="8" t="s">
        <v>31</v>
      </c>
      <c r="D1" s="8" t="s">
        <v>75</v>
      </c>
      <c r="E1" s="8" t="s">
        <v>76</v>
      </c>
      <c r="F1" s="8" t="s">
        <v>77</v>
      </c>
      <c r="G1" s="8" t="s">
        <v>39</v>
      </c>
      <c r="H1" s="8" t="s">
        <v>78</v>
      </c>
      <c r="I1" s="8" t="s">
        <v>79</v>
      </c>
      <c r="J1" s="8" t="s">
        <v>80</v>
      </c>
      <c r="K1" s="8" t="s">
        <v>81</v>
      </c>
      <c r="L1" s="8" t="s">
        <v>82</v>
      </c>
      <c r="M1" s="8" t="s">
        <v>83</v>
      </c>
      <c r="N1" s="8" t="s">
        <v>84</v>
      </c>
      <c r="O1" s="8" t="s">
        <v>85</v>
      </c>
      <c r="P1" s="8" t="s">
        <v>86</v>
      </c>
      <c r="Q1" s="8" t="s">
        <v>87</v>
      </c>
    </row>
    <row r="2" customFormat="false" ht="28.35" hidden="false" customHeight="false" outlineLevel="0" collapsed="false">
      <c r="A2" s="20" t="n">
        <f aca="false">IF(Itens!A2="","",Itens!A2)</f>
        <v>1</v>
      </c>
      <c r="B2" s="21" t="str">
        <f aca="false">IF(A2="","",Itens!B2)</f>
        <v>EXEMPLO — Notebook corporativo, conforme especificação do TR</v>
      </c>
      <c r="C2" s="20" t="str">
        <f aca="false">IF(A2="","",Itens!D2)</f>
        <v>unidade</v>
      </c>
      <c r="D2" s="20" t="n">
        <f aca="false">IF(A2="","",Itens!E2)</f>
        <v>150</v>
      </c>
      <c r="E2" s="20" t="n">
        <f aca="false">IF(A2="","",COUNTIFS(Coleta!$A$2:$A$301,A2,Coleta!$H$2:$H$301,"Válido"))</f>
        <v>2</v>
      </c>
      <c r="F2" s="22" t="n">
        <f aca="false">IF(OR(A2="",E2=0),"",AVERAGEIFS(Coleta!$G$2:$G$301,Coleta!$A$2:$A$301,A2,Coleta!$H$2:$H$301,"Válido"))</f>
        <v>5379.5</v>
      </c>
      <c r="G2" s="22" t="n">
        <f aca="false" t="array" ref="G2:G2">IF(OR(A2="",E2=0),"",MEDIAN(IF((Coleta!$A$2:$A$301=A2)*(Coleta!$H$2:$H$301="Válido"),Coleta!$G$2:$G$301)))</f>
        <v>5379.5</v>
      </c>
      <c r="H2" s="22" t="n">
        <f aca="false">IF(OR(A2="",E2=0),"",_xlfn.MINIFS(Coleta!$G$2:$G$301,Coleta!$A$2:$A$301,A2,Coleta!$H$2:$H$301,"Válido"))</f>
        <v>5200</v>
      </c>
      <c r="I2" s="22" t="n">
        <f aca="false" t="array" ref="I2:I2">IF(OR(A2="",E2&lt;2),"",STDEV(IF((Coleta!$A$2:$A$301=A2)*(Coleta!$H$2:$H$301="Válido"),Coleta!$G$2:$G$301)))</f>
        <v>253.851334445971</v>
      </c>
      <c r="J2" s="23" t="n">
        <f aca="false">IF(OR(A2="",E2&lt;2),"",I2/F2)</f>
        <v>0.0471886484702985</v>
      </c>
      <c r="K2" s="20" t="str">
        <f aca="false">IF(A2="","",Itens!F2)</f>
        <v>Mediana</v>
      </c>
      <c r="L2" s="22" t="n">
        <f aca="false">IF(OR(A2="",E2=0,K2=""),"",IF(K2="Média",F2,IF(K2="Mediana",G2,H2)))</f>
        <v>5379.5</v>
      </c>
      <c r="M2" s="24" t="n">
        <f aca="false">IF(A2="","",IF(Itens!G2="",0,Itens!G2))</f>
        <v>0</v>
      </c>
      <c r="N2" s="22" t="n">
        <f aca="false">IF(L2="","",ROUND(L2*(1+M2),2))</f>
        <v>5379.5</v>
      </c>
      <c r="O2" s="22" t="str">
        <f aca="false">IF(OR(A2="",Itens!H2=""),"",Itens!H2)</f>
        <v/>
      </c>
      <c r="P2" s="22" t="n">
        <f aca="false">IF(OR(N2="",D2=""),"",IF(O2="",N2,MIN(N2,O2))*D2)</f>
        <v>806925</v>
      </c>
      <c r="Q2" s="21" t="str">
        <f aca="false">IF(A2="","",TRIM(IF(E2&lt;3,"Menos de 3 preços válidos: justificar e aprovar (art. 6º, § 5º). ","")&amp;IF(COUNTIFS(Coleta!$A$2:$A$301,A2,Coleta!$H$2:$H$301,"Válido",Coleta!$B$2:$B$301,"I")+COUNTIFS(Coleta!$A$2:$A$301,A2,Coleta!$H$2:$H$301,"Válido",Coleta!$B$2:$B$301,"II")=0,"Sem preço dos parâmetros I ou II: justificar (art. 5º, § 1º). ","")&amp;IF(AND(J2&lt;&gt;"",J2&gt;Identificação!$B$9),"CV acima do limite: análise crítica (art. 6º, § 4º). ","")&amp;IF(K2="","Escolher o método na aba Itens. ","")&amp;IF(AND(O2&lt;&gt;"",N2&lt;&gt;"",N2&gt;O2),"Estimado acima do PMC-TIC: usado o PMC-TIC (IN 94, art. 20, § 3º). ","")))</f>
        <v>Menos de 3 preços válidos: justificar e aprovar (art. 6º, § 5º).</v>
      </c>
    </row>
    <row r="3" customFormat="false" ht="15" hidden="false" customHeight="false" outlineLevel="0" collapsed="false">
      <c r="A3" s="20" t="str">
        <f aca="false">IF(Itens!A3="","",Itens!A3)</f>
        <v/>
      </c>
      <c r="B3" s="21" t="str">
        <f aca="false">IF(A3="","",Itens!B3)</f>
        <v/>
      </c>
      <c r="C3" s="20" t="str">
        <f aca="false">IF(A3="","",Itens!D3)</f>
        <v/>
      </c>
      <c r="D3" s="20" t="str">
        <f aca="false">IF(A3="","",Itens!E3)</f>
        <v/>
      </c>
      <c r="E3" s="20" t="str">
        <f aca="false">IF(A3="","",COUNTIFS(Coleta!$A$2:$A$301,A3,Coleta!$H$2:$H$301,"Válido"))</f>
        <v/>
      </c>
      <c r="F3" s="22" t="str">
        <f aca="false">IF(OR(A3="",E3=0),"",AVERAGEIFS(Coleta!$G$2:$G$301,Coleta!$A$2:$A$301,A3,Coleta!$H$2:$H$301,"Válido"))</f>
        <v/>
      </c>
      <c r="G3" s="22" t="str">
        <f aca="false" t="array" ref="G3:G3">IF(OR(A3="",E3=0),"",MEDIAN(IF((Coleta!$A$2:$A$301=A3)*(Coleta!$H$2:$H$301="Válido"),Coleta!$G$2:$G$301)))</f>
        <v/>
      </c>
      <c r="H3" s="22" t="str">
        <f aca="false">IF(OR(A3="",E3=0),"",_xlfn.MINIFS(Coleta!$G$2:$G$301,Coleta!$A$2:$A$301,A3,Coleta!$H$2:$H$301,"Válido"))</f>
        <v/>
      </c>
      <c r="I3" s="22" t="str">
        <f aca="false" t="array" ref="I3:I3">IF(OR(A3="",E3&lt;2),"",STDEV(IF((Coleta!$A$2:$A$301=A3)*(Coleta!$H$2:$H$301="Válido"),Coleta!$G$2:$G$301)))</f>
        <v/>
      </c>
      <c r="J3" s="23" t="str">
        <f aca="false">IF(OR(A3="",E3&lt;2),"",I3/F3)</f>
        <v/>
      </c>
      <c r="K3" s="20" t="str">
        <f aca="false">IF(A3="","",Itens!F3)</f>
        <v/>
      </c>
      <c r="L3" s="22" t="str">
        <f aca="false">IF(OR(A3="",E3=0,K3=""),"",IF(K3="Média",F3,IF(K3="Mediana",G3,H3)))</f>
        <v/>
      </c>
      <c r="M3" s="24" t="str">
        <f aca="false">IF(A3="","",IF(Itens!G3="",0,Itens!G3))</f>
        <v/>
      </c>
      <c r="N3" s="22" t="str">
        <f aca="false">IF(L3="","",ROUND(L3*(1+M3),2))</f>
        <v/>
      </c>
      <c r="O3" s="22" t="str">
        <f aca="false">IF(OR(A3="",Itens!H3=""),"",Itens!H3)</f>
        <v/>
      </c>
      <c r="P3" s="22" t="str">
        <f aca="false">IF(OR(N3="",D3=""),"",IF(O3="",N3,MIN(N3,O3))*D3)</f>
        <v/>
      </c>
      <c r="Q3" s="21" t="str">
        <f aca="false">IF(A3="","",TRIM(IF(E3&lt;3,"Menos de 3 preços válidos: justificar e aprovar (art. 6º, § 5º). ","")&amp;IF(COUNTIFS(Coleta!$A$2:$A$301,A3,Coleta!$H$2:$H$301,"Válido",Coleta!$B$2:$B$301,"I")+COUNTIFS(Coleta!$A$2:$A$301,A3,Coleta!$H$2:$H$301,"Válido",Coleta!$B$2:$B$301,"II")=0,"Sem preço dos parâmetros I ou II: justificar (art. 5º, § 1º). ","")&amp;IF(AND(J3&lt;&gt;"",J3&gt;Identificação!$B$9),"CV acima do limite: análise crítica (art. 6º, § 4º). ","")&amp;IF(K3="","Escolher o método na aba Itens. ","")&amp;IF(AND(O3&lt;&gt;"",N3&lt;&gt;"",N3&gt;O3),"Estimado acima do PMC-TIC: usado o PMC-TIC (IN 94, art. 20, § 3º). ","")))</f>
        <v/>
      </c>
    </row>
    <row r="4" customFormat="false" ht="15" hidden="false" customHeight="false" outlineLevel="0" collapsed="false">
      <c r="A4" s="20" t="str">
        <f aca="false">IF(Itens!A4="","",Itens!A4)</f>
        <v/>
      </c>
      <c r="B4" s="21" t="str">
        <f aca="false">IF(A4="","",Itens!B4)</f>
        <v/>
      </c>
      <c r="C4" s="20" t="str">
        <f aca="false">IF(A4="","",Itens!D4)</f>
        <v/>
      </c>
      <c r="D4" s="20" t="str">
        <f aca="false">IF(A4="","",Itens!E4)</f>
        <v/>
      </c>
      <c r="E4" s="20" t="str">
        <f aca="false">IF(A4="","",COUNTIFS(Coleta!$A$2:$A$301,A4,Coleta!$H$2:$H$301,"Válido"))</f>
        <v/>
      </c>
      <c r="F4" s="22" t="str">
        <f aca="false">IF(OR(A4="",E4=0),"",AVERAGEIFS(Coleta!$G$2:$G$301,Coleta!$A$2:$A$301,A4,Coleta!$H$2:$H$301,"Válido"))</f>
        <v/>
      </c>
      <c r="G4" s="22" t="str">
        <f aca="false" t="array" ref="G4:G4">IF(OR(A4="",E4=0),"",MEDIAN(IF((Coleta!$A$2:$A$301=A4)*(Coleta!$H$2:$H$301="Válido"),Coleta!$G$2:$G$301)))</f>
        <v/>
      </c>
      <c r="H4" s="22" t="str">
        <f aca="false">IF(OR(A4="",E4=0),"",_xlfn.MINIFS(Coleta!$G$2:$G$301,Coleta!$A$2:$A$301,A4,Coleta!$H$2:$H$301,"Válido"))</f>
        <v/>
      </c>
      <c r="I4" s="22" t="str">
        <f aca="false" t="array" ref="I4:I4">IF(OR(A4="",E4&lt;2),"",STDEV(IF((Coleta!$A$2:$A$301=A4)*(Coleta!$H$2:$H$301="Válido"),Coleta!$G$2:$G$301)))</f>
        <v/>
      </c>
      <c r="J4" s="23" t="str">
        <f aca="false">IF(OR(A4="",E4&lt;2),"",I4/F4)</f>
        <v/>
      </c>
      <c r="K4" s="20" t="str">
        <f aca="false">IF(A4="","",Itens!F4)</f>
        <v/>
      </c>
      <c r="L4" s="22" t="str">
        <f aca="false">IF(OR(A4="",E4=0,K4=""),"",IF(K4="Média",F4,IF(K4="Mediana",G4,H4)))</f>
        <v/>
      </c>
      <c r="M4" s="24" t="str">
        <f aca="false">IF(A4="","",IF(Itens!G4="",0,Itens!G4))</f>
        <v/>
      </c>
      <c r="N4" s="22" t="str">
        <f aca="false">IF(L4="","",ROUND(L4*(1+M4),2))</f>
        <v/>
      </c>
      <c r="O4" s="22" t="str">
        <f aca="false">IF(OR(A4="",Itens!H4=""),"",Itens!H4)</f>
        <v/>
      </c>
      <c r="P4" s="22" t="str">
        <f aca="false">IF(OR(N4="",D4=""),"",IF(O4="",N4,MIN(N4,O4))*D4)</f>
        <v/>
      </c>
      <c r="Q4" s="21" t="str">
        <f aca="false">IF(A4="","",TRIM(IF(E4&lt;3,"Menos de 3 preços válidos: justificar e aprovar (art. 6º, § 5º). ","")&amp;IF(COUNTIFS(Coleta!$A$2:$A$301,A4,Coleta!$H$2:$H$301,"Válido",Coleta!$B$2:$B$301,"I")+COUNTIFS(Coleta!$A$2:$A$301,A4,Coleta!$H$2:$H$301,"Válido",Coleta!$B$2:$B$301,"II")=0,"Sem preço dos parâmetros I ou II: justificar (art. 5º, § 1º). ","")&amp;IF(AND(J4&lt;&gt;"",J4&gt;Identificação!$B$9),"CV acima do limite: análise crítica (art. 6º, § 4º). ","")&amp;IF(K4="","Escolher o método na aba Itens. ","")&amp;IF(AND(O4&lt;&gt;"",N4&lt;&gt;"",N4&gt;O4),"Estimado acima do PMC-TIC: usado o PMC-TIC (IN 94, art. 20, § 3º). ","")))</f>
        <v/>
      </c>
    </row>
    <row r="5" customFormat="false" ht="15" hidden="false" customHeight="false" outlineLevel="0" collapsed="false">
      <c r="A5" s="20" t="str">
        <f aca="false">IF(Itens!A5="","",Itens!A5)</f>
        <v/>
      </c>
      <c r="B5" s="21" t="str">
        <f aca="false">IF(A5="","",Itens!B5)</f>
        <v/>
      </c>
      <c r="C5" s="20" t="str">
        <f aca="false">IF(A5="","",Itens!D5)</f>
        <v/>
      </c>
      <c r="D5" s="20" t="str">
        <f aca="false">IF(A5="","",Itens!E5)</f>
        <v/>
      </c>
      <c r="E5" s="20" t="str">
        <f aca="false">IF(A5="","",COUNTIFS(Coleta!$A$2:$A$301,A5,Coleta!$H$2:$H$301,"Válido"))</f>
        <v/>
      </c>
      <c r="F5" s="22" t="str">
        <f aca="false">IF(OR(A5="",E5=0),"",AVERAGEIFS(Coleta!$G$2:$G$301,Coleta!$A$2:$A$301,A5,Coleta!$H$2:$H$301,"Válido"))</f>
        <v/>
      </c>
      <c r="G5" s="22" t="str">
        <f aca="false" t="array" ref="G5:G5">IF(OR(A5="",E5=0),"",MEDIAN(IF((Coleta!$A$2:$A$301=A5)*(Coleta!$H$2:$H$301="Válido"),Coleta!$G$2:$G$301)))</f>
        <v/>
      </c>
      <c r="H5" s="22" t="str">
        <f aca="false">IF(OR(A5="",E5=0),"",_xlfn.MINIFS(Coleta!$G$2:$G$301,Coleta!$A$2:$A$301,A5,Coleta!$H$2:$H$301,"Válido"))</f>
        <v/>
      </c>
      <c r="I5" s="22" t="str">
        <f aca="false" t="array" ref="I5:I5">IF(OR(A5="",E5&lt;2),"",STDEV(IF((Coleta!$A$2:$A$301=A5)*(Coleta!$H$2:$H$301="Válido"),Coleta!$G$2:$G$301)))</f>
        <v/>
      </c>
      <c r="J5" s="23" t="str">
        <f aca="false">IF(OR(A5="",E5&lt;2),"",I5/F5)</f>
        <v/>
      </c>
      <c r="K5" s="20" t="str">
        <f aca="false">IF(A5="","",Itens!F5)</f>
        <v/>
      </c>
      <c r="L5" s="22" t="str">
        <f aca="false">IF(OR(A5="",E5=0,K5=""),"",IF(K5="Média",F5,IF(K5="Mediana",G5,H5)))</f>
        <v/>
      </c>
      <c r="M5" s="24" t="str">
        <f aca="false">IF(A5="","",IF(Itens!G5="",0,Itens!G5))</f>
        <v/>
      </c>
      <c r="N5" s="22" t="str">
        <f aca="false">IF(L5="","",ROUND(L5*(1+M5),2))</f>
        <v/>
      </c>
      <c r="O5" s="22" t="str">
        <f aca="false">IF(OR(A5="",Itens!H5=""),"",Itens!H5)</f>
        <v/>
      </c>
      <c r="P5" s="22" t="str">
        <f aca="false">IF(OR(N5="",D5=""),"",IF(O5="",N5,MIN(N5,O5))*D5)</f>
        <v/>
      </c>
      <c r="Q5" s="21" t="str">
        <f aca="false">IF(A5="","",TRIM(IF(E5&lt;3,"Menos de 3 preços válidos: justificar e aprovar (art. 6º, § 5º). ","")&amp;IF(COUNTIFS(Coleta!$A$2:$A$301,A5,Coleta!$H$2:$H$301,"Válido",Coleta!$B$2:$B$301,"I")+COUNTIFS(Coleta!$A$2:$A$301,A5,Coleta!$H$2:$H$301,"Válido",Coleta!$B$2:$B$301,"II")=0,"Sem preço dos parâmetros I ou II: justificar (art. 5º, § 1º). ","")&amp;IF(AND(J5&lt;&gt;"",J5&gt;Identificação!$B$9),"CV acima do limite: análise crítica (art. 6º, § 4º). ","")&amp;IF(K5="","Escolher o método na aba Itens. ","")&amp;IF(AND(O5&lt;&gt;"",N5&lt;&gt;"",N5&gt;O5),"Estimado acima do PMC-TIC: usado o PMC-TIC (IN 94, art. 20, § 3º). ","")))</f>
        <v/>
      </c>
    </row>
    <row r="6" customFormat="false" ht="15" hidden="false" customHeight="false" outlineLevel="0" collapsed="false">
      <c r="A6" s="20" t="str">
        <f aca="false">IF(Itens!A6="","",Itens!A6)</f>
        <v/>
      </c>
      <c r="B6" s="21" t="str">
        <f aca="false">IF(A6="","",Itens!B6)</f>
        <v/>
      </c>
      <c r="C6" s="20" t="str">
        <f aca="false">IF(A6="","",Itens!D6)</f>
        <v/>
      </c>
      <c r="D6" s="20" t="str">
        <f aca="false">IF(A6="","",Itens!E6)</f>
        <v/>
      </c>
      <c r="E6" s="20" t="str">
        <f aca="false">IF(A6="","",COUNTIFS(Coleta!$A$2:$A$301,A6,Coleta!$H$2:$H$301,"Válido"))</f>
        <v/>
      </c>
      <c r="F6" s="22" t="str">
        <f aca="false">IF(OR(A6="",E6=0),"",AVERAGEIFS(Coleta!$G$2:$G$301,Coleta!$A$2:$A$301,A6,Coleta!$H$2:$H$301,"Válido"))</f>
        <v/>
      </c>
      <c r="G6" s="22" t="str">
        <f aca="false" t="array" ref="G6:G6">IF(OR(A6="",E6=0),"",MEDIAN(IF((Coleta!$A$2:$A$301=A6)*(Coleta!$H$2:$H$301="Válido"),Coleta!$G$2:$G$301)))</f>
        <v/>
      </c>
      <c r="H6" s="22" t="str">
        <f aca="false">IF(OR(A6="",E6=0),"",_xlfn.MINIFS(Coleta!$G$2:$G$301,Coleta!$A$2:$A$301,A6,Coleta!$H$2:$H$301,"Válido"))</f>
        <v/>
      </c>
      <c r="I6" s="22" t="str">
        <f aca="false" t="array" ref="I6:I6">IF(OR(A6="",E6&lt;2),"",STDEV(IF((Coleta!$A$2:$A$301=A6)*(Coleta!$H$2:$H$301="Válido"),Coleta!$G$2:$G$301)))</f>
        <v/>
      </c>
      <c r="J6" s="23" t="str">
        <f aca="false">IF(OR(A6="",E6&lt;2),"",I6/F6)</f>
        <v/>
      </c>
      <c r="K6" s="20" t="str">
        <f aca="false">IF(A6="","",Itens!F6)</f>
        <v/>
      </c>
      <c r="L6" s="22" t="str">
        <f aca="false">IF(OR(A6="",E6=0,K6=""),"",IF(K6="Média",F6,IF(K6="Mediana",G6,H6)))</f>
        <v/>
      </c>
      <c r="M6" s="24" t="str">
        <f aca="false">IF(A6="","",IF(Itens!G6="",0,Itens!G6))</f>
        <v/>
      </c>
      <c r="N6" s="22" t="str">
        <f aca="false">IF(L6="","",ROUND(L6*(1+M6),2))</f>
        <v/>
      </c>
      <c r="O6" s="22" t="str">
        <f aca="false">IF(OR(A6="",Itens!H6=""),"",Itens!H6)</f>
        <v/>
      </c>
      <c r="P6" s="22" t="str">
        <f aca="false">IF(OR(N6="",D6=""),"",IF(O6="",N6,MIN(N6,O6))*D6)</f>
        <v/>
      </c>
      <c r="Q6" s="21" t="str">
        <f aca="false">IF(A6="","",TRIM(IF(E6&lt;3,"Menos de 3 preços válidos: justificar e aprovar (art. 6º, § 5º). ","")&amp;IF(COUNTIFS(Coleta!$A$2:$A$301,A6,Coleta!$H$2:$H$301,"Válido",Coleta!$B$2:$B$301,"I")+COUNTIFS(Coleta!$A$2:$A$301,A6,Coleta!$H$2:$H$301,"Válido",Coleta!$B$2:$B$301,"II")=0,"Sem preço dos parâmetros I ou II: justificar (art. 5º, § 1º). ","")&amp;IF(AND(J6&lt;&gt;"",J6&gt;Identificação!$B$9),"CV acima do limite: análise crítica (art. 6º, § 4º). ","")&amp;IF(K6="","Escolher o método na aba Itens. ","")&amp;IF(AND(O6&lt;&gt;"",N6&lt;&gt;"",N6&gt;O6),"Estimado acima do PMC-TIC: usado o PMC-TIC (IN 94, art. 20, § 3º). ","")))</f>
        <v/>
      </c>
    </row>
    <row r="7" customFormat="false" ht="15" hidden="false" customHeight="false" outlineLevel="0" collapsed="false">
      <c r="A7" s="20" t="str">
        <f aca="false">IF(Itens!A7="","",Itens!A7)</f>
        <v/>
      </c>
      <c r="B7" s="21" t="str">
        <f aca="false">IF(A7="","",Itens!B7)</f>
        <v/>
      </c>
      <c r="C7" s="20" t="str">
        <f aca="false">IF(A7="","",Itens!D7)</f>
        <v/>
      </c>
      <c r="D7" s="20" t="str">
        <f aca="false">IF(A7="","",Itens!E7)</f>
        <v/>
      </c>
      <c r="E7" s="20" t="str">
        <f aca="false">IF(A7="","",COUNTIFS(Coleta!$A$2:$A$301,A7,Coleta!$H$2:$H$301,"Válido"))</f>
        <v/>
      </c>
      <c r="F7" s="22" t="str">
        <f aca="false">IF(OR(A7="",E7=0),"",AVERAGEIFS(Coleta!$G$2:$G$301,Coleta!$A$2:$A$301,A7,Coleta!$H$2:$H$301,"Válido"))</f>
        <v/>
      </c>
      <c r="G7" s="22" t="str">
        <f aca="false" t="array" ref="G7:G7">IF(OR(A7="",E7=0),"",MEDIAN(IF((Coleta!$A$2:$A$301=A7)*(Coleta!$H$2:$H$301="Válido"),Coleta!$G$2:$G$301)))</f>
        <v/>
      </c>
      <c r="H7" s="22" t="str">
        <f aca="false">IF(OR(A7="",E7=0),"",_xlfn.MINIFS(Coleta!$G$2:$G$301,Coleta!$A$2:$A$301,A7,Coleta!$H$2:$H$301,"Válido"))</f>
        <v/>
      </c>
      <c r="I7" s="22" t="str">
        <f aca="false" t="array" ref="I7:I7">IF(OR(A7="",E7&lt;2),"",STDEV(IF((Coleta!$A$2:$A$301=A7)*(Coleta!$H$2:$H$301="Válido"),Coleta!$G$2:$G$301)))</f>
        <v/>
      </c>
      <c r="J7" s="23" t="str">
        <f aca="false">IF(OR(A7="",E7&lt;2),"",I7/F7)</f>
        <v/>
      </c>
      <c r="K7" s="20" t="str">
        <f aca="false">IF(A7="","",Itens!F7)</f>
        <v/>
      </c>
      <c r="L7" s="22" t="str">
        <f aca="false">IF(OR(A7="",E7=0,K7=""),"",IF(K7="Média",F7,IF(K7="Mediana",G7,H7)))</f>
        <v/>
      </c>
      <c r="M7" s="24" t="str">
        <f aca="false">IF(A7="","",IF(Itens!G7="",0,Itens!G7))</f>
        <v/>
      </c>
      <c r="N7" s="22" t="str">
        <f aca="false">IF(L7="","",ROUND(L7*(1+M7),2))</f>
        <v/>
      </c>
      <c r="O7" s="22" t="str">
        <f aca="false">IF(OR(A7="",Itens!H7=""),"",Itens!H7)</f>
        <v/>
      </c>
      <c r="P7" s="22" t="str">
        <f aca="false">IF(OR(N7="",D7=""),"",IF(O7="",N7,MIN(N7,O7))*D7)</f>
        <v/>
      </c>
      <c r="Q7" s="21" t="str">
        <f aca="false">IF(A7="","",TRIM(IF(E7&lt;3,"Menos de 3 preços válidos: justificar e aprovar (art. 6º, § 5º). ","")&amp;IF(COUNTIFS(Coleta!$A$2:$A$301,A7,Coleta!$H$2:$H$301,"Válido",Coleta!$B$2:$B$301,"I")+COUNTIFS(Coleta!$A$2:$A$301,A7,Coleta!$H$2:$H$301,"Válido",Coleta!$B$2:$B$301,"II")=0,"Sem preço dos parâmetros I ou II: justificar (art. 5º, § 1º). ","")&amp;IF(AND(J7&lt;&gt;"",J7&gt;Identificação!$B$9),"CV acima do limite: análise crítica (art. 6º, § 4º). ","")&amp;IF(K7="","Escolher o método na aba Itens. ","")&amp;IF(AND(O7&lt;&gt;"",N7&lt;&gt;"",N7&gt;O7),"Estimado acima do PMC-TIC: usado o PMC-TIC (IN 94, art. 20, § 3º). ","")))</f>
        <v/>
      </c>
    </row>
    <row r="8" customFormat="false" ht="15" hidden="false" customHeight="false" outlineLevel="0" collapsed="false">
      <c r="A8" s="20" t="str">
        <f aca="false">IF(Itens!A8="","",Itens!A8)</f>
        <v/>
      </c>
      <c r="B8" s="21" t="str">
        <f aca="false">IF(A8="","",Itens!B8)</f>
        <v/>
      </c>
      <c r="C8" s="20" t="str">
        <f aca="false">IF(A8="","",Itens!D8)</f>
        <v/>
      </c>
      <c r="D8" s="20" t="str">
        <f aca="false">IF(A8="","",Itens!E8)</f>
        <v/>
      </c>
      <c r="E8" s="20" t="str">
        <f aca="false">IF(A8="","",COUNTIFS(Coleta!$A$2:$A$301,A8,Coleta!$H$2:$H$301,"Válido"))</f>
        <v/>
      </c>
      <c r="F8" s="22" t="str">
        <f aca="false">IF(OR(A8="",E8=0),"",AVERAGEIFS(Coleta!$G$2:$G$301,Coleta!$A$2:$A$301,A8,Coleta!$H$2:$H$301,"Válido"))</f>
        <v/>
      </c>
      <c r="G8" s="22" t="str">
        <f aca="false" t="array" ref="G8:G8">IF(OR(A8="",E8=0),"",MEDIAN(IF((Coleta!$A$2:$A$301=A8)*(Coleta!$H$2:$H$301="Válido"),Coleta!$G$2:$G$301)))</f>
        <v/>
      </c>
      <c r="H8" s="22" t="str">
        <f aca="false">IF(OR(A8="",E8=0),"",_xlfn.MINIFS(Coleta!$G$2:$G$301,Coleta!$A$2:$A$301,A8,Coleta!$H$2:$H$301,"Válido"))</f>
        <v/>
      </c>
      <c r="I8" s="22" t="str">
        <f aca="false" t="array" ref="I8:I8">IF(OR(A8="",E8&lt;2),"",STDEV(IF((Coleta!$A$2:$A$301=A8)*(Coleta!$H$2:$H$301="Válido"),Coleta!$G$2:$G$301)))</f>
        <v/>
      </c>
      <c r="J8" s="23" t="str">
        <f aca="false">IF(OR(A8="",E8&lt;2),"",I8/F8)</f>
        <v/>
      </c>
      <c r="K8" s="20" t="str">
        <f aca="false">IF(A8="","",Itens!F8)</f>
        <v/>
      </c>
      <c r="L8" s="22" t="str">
        <f aca="false">IF(OR(A8="",E8=0,K8=""),"",IF(K8="Média",F8,IF(K8="Mediana",G8,H8)))</f>
        <v/>
      </c>
      <c r="M8" s="24" t="str">
        <f aca="false">IF(A8="","",IF(Itens!G8="",0,Itens!G8))</f>
        <v/>
      </c>
      <c r="N8" s="22" t="str">
        <f aca="false">IF(L8="","",ROUND(L8*(1+M8),2))</f>
        <v/>
      </c>
      <c r="O8" s="22" t="str">
        <f aca="false">IF(OR(A8="",Itens!H8=""),"",Itens!H8)</f>
        <v/>
      </c>
      <c r="P8" s="22" t="str">
        <f aca="false">IF(OR(N8="",D8=""),"",IF(O8="",N8,MIN(N8,O8))*D8)</f>
        <v/>
      </c>
      <c r="Q8" s="21" t="str">
        <f aca="false">IF(A8="","",TRIM(IF(E8&lt;3,"Menos de 3 preços válidos: justificar e aprovar (art. 6º, § 5º). ","")&amp;IF(COUNTIFS(Coleta!$A$2:$A$301,A8,Coleta!$H$2:$H$301,"Válido",Coleta!$B$2:$B$301,"I")+COUNTIFS(Coleta!$A$2:$A$301,A8,Coleta!$H$2:$H$301,"Válido",Coleta!$B$2:$B$301,"II")=0,"Sem preço dos parâmetros I ou II: justificar (art. 5º, § 1º). ","")&amp;IF(AND(J8&lt;&gt;"",J8&gt;Identificação!$B$9),"CV acima do limite: análise crítica (art. 6º, § 4º). ","")&amp;IF(K8="","Escolher o método na aba Itens. ","")&amp;IF(AND(O8&lt;&gt;"",N8&lt;&gt;"",N8&gt;O8),"Estimado acima do PMC-TIC: usado o PMC-TIC (IN 94, art. 20, § 3º). ","")))</f>
        <v/>
      </c>
    </row>
    <row r="9" customFormat="false" ht="15" hidden="false" customHeight="false" outlineLevel="0" collapsed="false">
      <c r="A9" s="20" t="str">
        <f aca="false">IF(Itens!A9="","",Itens!A9)</f>
        <v/>
      </c>
      <c r="B9" s="21" t="str">
        <f aca="false">IF(A9="","",Itens!B9)</f>
        <v/>
      </c>
      <c r="C9" s="20" t="str">
        <f aca="false">IF(A9="","",Itens!D9)</f>
        <v/>
      </c>
      <c r="D9" s="20" t="str">
        <f aca="false">IF(A9="","",Itens!E9)</f>
        <v/>
      </c>
      <c r="E9" s="20" t="str">
        <f aca="false">IF(A9="","",COUNTIFS(Coleta!$A$2:$A$301,A9,Coleta!$H$2:$H$301,"Válido"))</f>
        <v/>
      </c>
      <c r="F9" s="22" t="str">
        <f aca="false">IF(OR(A9="",E9=0),"",AVERAGEIFS(Coleta!$G$2:$G$301,Coleta!$A$2:$A$301,A9,Coleta!$H$2:$H$301,"Válido"))</f>
        <v/>
      </c>
      <c r="G9" s="22" t="str">
        <f aca="false" t="array" ref="G9:G9">IF(OR(A9="",E9=0),"",MEDIAN(IF((Coleta!$A$2:$A$301=A9)*(Coleta!$H$2:$H$301="Válido"),Coleta!$G$2:$G$301)))</f>
        <v/>
      </c>
      <c r="H9" s="22" t="str">
        <f aca="false">IF(OR(A9="",E9=0),"",_xlfn.MINIFS(Coleta!$G$2:$G$301,Coleta!$A$2:$A$301,A9,Coleta!$H$2:$H$301,"Válido"))</f>
        <v/>
      </c>
      <c r="I9" s="22" t="str">
        <f aca="false" t="array" ref="I9:I9">IF(OR(A9="",E9&lt;2),"",STDEV(IF((Coleta!$A$2:$A$301=A9)*(Coleta!$H$2:$H$301="Válido"),Coleta!$G$2:$G$301)))</f>
        <v/>
      </c>
      <c r="J9" s="23" t="str">
        <f aca="false">IF(OR(A9="",E9&lt;2),"",I9/F9)</f>
        <v/>
      </c>
      <c r="K9" s="20" t="str">
        <f aca="false">IF(A9="","",Itens!F9)</f>
        <v/>
      </c>
      <c r="L9" s="22" t="str">
        <f aca="false">IF(OR(A9="",E9=0,K9=""),"",IF(K9="Média",F9,IF(K9="Mediana",G9,H9)))</f>
        <v/>
      </c>
      <c r="M9" s="24" t="str">
        <f aca="false">IF(A9="","",IF(Itens!G9="",0,Itens!G9))</f>
        <v/>
      </c>
      <c r="N9" s="22" t="str">
        <f aca="false">IF(L9="","",ROUND(L9*(1+M9),2))</f>
        <v/>
      </c>
      <c r="O9" s="22" t="str">
        <f aca="false">IF(OR(A9="",Itens!H9=""),"",Itens!H9)</f>
        <v/>
      </c>
      <c r="P9" s="22" t="str">
        <f aca="false">IF(OR(N9="",D9=""),"",IF(O9="",N9,MIN(N9,O9))*D9)</f>
        <v/>
      </c>
      <c r="Q9" s="21" t="str">
        <f aca="false">IF(A9="","",TRIM(IF(E9&lt;3,"Menos de 3 preços válidos: justificar e aprovar (art. 6º, § 5º). ","")&amp;IF(COUNTIFS(Coleta!$A$2:$A$301,A9,Coleta!$H$2:$H$301,"Válido",Coleta!$B$2:$B$301,"I")+COUNTIFS(Coleta!$A$2:$A$301,A9,Coleta!$H$2:$H$301,"Válido",Coleta!$B$2:$B$301,"II")=0,"Sem preço dos parâmetros I ou II: justificar (art. 5º, § 1º). ","")&amp;IF(AND(J9&lt;&gt;"",J9&gt;Identificação!$B$9),"CV acima do limite: análise crítica (art. 6º, § 4º). ","")&amp;IF(K9="","Escolher o método na aba Itens. ","")&amp;IF(AND(O9&lt;&gt;"",N9&lt;&gt;"",N9&gt;O9),"Estimado acima do PMC-TIC: usado o PMC-TIC (IN 94, art. 20, § 3º). ","")))</f>
        <v/>
      </c>
    </row>
    <row r="10" customFormat="false" ht="15" hidden="false" customHeight="false" outlineLevel="0" collapsed="false">
      <c r="A10" s="20" t="str">
        <f aca="false">IF(Itens!A10="","",Itens!A10)</f>
        <v/>
      </c>
      <c r="B10" s="21" t="str">
        <f aca="false">IF(A10="","",Itens!B10)</f>
        <v/>
      </c>
      <c r="C10" s="20" t="str">
        <f aca="false">IF(A10="","",Itens!D10)</f>
        <v/>
      </c>
      <c r="D10" s="20" t="str">
        <f aca="false">IF(A10="","",Itens!E10)</f>
        <v/>
      </c>
      <c r="E10" s="20" t="str">
        <f aca="false">IF(A10="","",COUNTIFS(Coleta!$A$2:$A$301,A10,Coleta!$H$2:$H$301,"Válido"))</f>
        <v/>
      </c>
      <c r="F10" s="22" t="str">
        <f aca="false">IF(OR(A10="",E10=0),"",AVERAGEIFS(Coleta!$G$2:$G$301,Coleta!$A$2:$A$301,A10,Coleta!$H$2:$H$301,"Válido"))</f>
        <v/>
      </c>
      <c r="G10" s="22" t="str">
        <f aca="false" t="array" ref="G10:G10">IF(OR(A10="",E10=0),"",MEDIAN(IF((Coleta!$A$2:$A$301=A10)*(Coleta!$H$2:$H$301="Válido"),Coleta!$G$2:$G$301)))</f>
        <v/>
      </c>
      <c r="H10" s="22" t="str">
        <f aca="false">IF(OR(A10="",E10=0),"",_xlfn.MINIFS(Coleta!$G$2:$G$301,Coleta!$A$2:$A$301,A10,Coleta!$H$2:$H$301,"Válido"))</f>
        <v/>
      </c>
      <c r="I10" s="22" t="str">
        <f aca="false" t="array" ref="I10:I10">IF(OR(A10="",E10&lt;2),"",STDEV(IF((Coleta!$A$2:$A$301=A10)*(Coleta!$H$2:$H$301="Válido"),Coleta!$G$2:$G$301)))</f>
        <v/>
      </c>
      <c r="J10" s="23" t="str">
        <f aca="false">IF(OR(A10="",E10&lt;2),"",I10/F10)</f>
        <v/>
      </c>
      <c r="K10" s="20" t="str">
        <f aca="false">IF(A10="","",Itens!F10)</f>
        <v/>
      </c>
      <c r="L10" s="22" t="str">
        <f aca="false">IF(OR(A10="",E10=0,K10=""),"",IF(K10="Média",F10,IF(K10="Mediana",G10,H10)))</f>
        <v/>
      </c>
      <c r="M10" s="24" t="str">
        <f aca="false">IF(A10="","",IF(Itens!G10="",0,Itens!G10))</f>
        <v/>
      </c>
      <c r="N10" s="22" t="str">
        <f aca="false">IF(L10="","",ROUND(L10*(1+M10),2))</f>
        <v/>
      </c>
      <c r="O10" s="22" t="str">
        <f aca="false">IF(OR(A10="",Itens!H10=""),"",Itens!H10)</f>
        <v/>
      </c>
      <c r="P10" s="22" t="str">
        <f aca="false">IF(OR(N10="",D10=""),"",IF(O10="",N10,MIN(N10,O10))*D10)</f>
        <v/>
      </c>
      <c r="Q10" s="21" t="str">
        <f aca="false">IF(A10="","",TRIM(IF(E10&lt;3,"Menos de 3 preços válidos: justificar e aprovar (art. 6º, § 5º). ","")&amp;IF(COUNTIFS(Coleta!$A$2:$A$301,A10,Coleta!$H$2:$H$301,"Válido",Coleta!$B$2:$B$301,"I")+COUNTIFS(Coleta!$A$2:$A$301,A10,Coleta!$H$2:$H$301,"Válido",Coleta!$B$2:$B$301,"II")=0,"Sem preço dos parâmetros I ou II: justificar (art. 5º, § 1º). ","")&amp;IF(AND(J10&lt;&gt;"",J10&gt;Identificação!$B$9),"CV acima do limite: análise crítica (art. 6º, § 4º). ","")&amp;IF(K10="","Escolher o método na aba Itens. ","")&amp;IF(AND(O10&lt;&gt;"",N10&lt;&gt;"",N10&gt;O10),"Estimado acima do PMC-TIC: usado o PMC-TIC (IN 94, art. 20, § 3º). ","")))</f>
        <v/>
      </c>
    </row>
    <row r="11" customFormat="false" ht="15" hidden="false" customHeight="false" outlineLevel="0" collapsed="false">
      <c r="A11" s="20" t="str">
        <f aca="false">IF(Itens!A11="","",Itens!A11)</f>
        <v/>
      </c>
      <c r="B11" s="21" t="str">
        <f aca="false">IF(A11="","",Itens!B11)</f>
        <v/>
      </c>
      <c r="C11" s="20" t="str">
        <f aca="false">IF(A11="","",Itens!D11)</f>
        <v/>
      </c>
      <c r="D11" s="20" t="str">
        <f aca="false">IF(A11="","",Itens!E11)</f>
        <v/>
      </c>
      <c r="E11" s="20" t="str">
        <f aca="false">IF(A11="","",COUNTIFS(Coleta!$A$2:$A$301,A11,Coleta!$H$2:$H$301,"Válido"))</f>
        <v/>
      </c>
      <c r="F11" s="22" t="str">
        <f aca="false">IF(OR(A11="",E11=0),"",AVERAGEIFS(Coleta!$G$2:$G$301,Coleta!$A$2:$A$301,A11,Coleta!$H$2:$H$301,"Válido"))</f>
        <v/>
      </c>
      <c r="G11" s="22" t="str">
        <f aca="false" t="array" ref="G11:G11">IF(OR(A11="",E11=0),"",MEDIAN(IF((Coleta!$A$2:$A$301=A11)*(Coleta!$H$2:$H$301="Válido"),Coleta!$G$2:$G$301)))</f>
        <v/>
      </c>
      <c r="H11" s="22" t="str">
        <f aca="false">IF(OR(A11="",E11=0),"",_xlfn.MINIFS(Coleta!$G$2:$G$301,Coleta!$A$2:$A$301,A11,Coleta!$H$2:$H$301,"Válido"))</f>
        <v/>
      </c>
      <c r="I11" s="22" t="str">
        <f aca="false" t="array" ref="I11:I11">IF(OR(A11="",E11&lt;2),"",STDEV(IF((Coleta!$A$2:$A$301=A11)*(Coleta!$H$2:$H$301="Válido"),Coleta!$G$2:$G$301)))</f>
        <v/>
      </c>
      <c r="J11" s="23" t="str">
        <f aca="false">IF(OR(A11="",E11&lt;2),"",I11/F11)</f>
        <v/>
      </c>
      <c r="K11" s="20" t="str">
        <f aca="false">IF(A11="","",Itens!F11)</f>
        <v/>
      </c>
      <c r="L11" s="22" t="str">
        <f aca="false">IF(OR(A11="",E11=0,K11=""),"",IF(K11="Média",F11,IF(K11="Mediana",G11,H11)))</f>
        <v/>
      </c>
      <c r="M11" s="24" t="str">
        <f aca="false">IF(A11="","",IF(Itens!G11="",0,Itens!G11))</f>
        <v/>
      </c>
      <c r="N11" s="22" t="str">
        <f aca="false">IF(L11="","",ROUND(L11*(1+M11),2))</f>
        <v/>
      </c>
      <c r="O11" s="22" t="str">
        <f aca="false">IF(OR(A11="",Itens!H11=""),"",Itens!H11)</f>
        <v/>
      </c>
      <c r="P11" s="22" t="str">
        <f aca="false">IF(OR(N11="",D11=""),"",IF(O11="",N11,MIN(N11,O11))*D11)</f>
        <v/>
      </c>
      <c r="Q11" s="21" t="str">
        <f aca="false">IF(A11="","",TRIM(IF(E11&lt;3,"Menos de 3 preços válidos: justificar e aprovar (art. 6º, § 5º). ","")&amp;IF(COUNTIFS(Coleta!$A$2:$A$301,A11,Coleta!$H$2:$H$301,"Válido",Coleta!$B$2:$B$301,"I")+COUNTIFS(Coleta!$A$2:$A$301,A11,Coleta!$H$2:$H$301,"Válido",Coleta!$B$2:$B$301,"II")=0,"Sem preço dos parâmetros I ou II: justificar (art. 5º, § 1º). ","")&amp;IF(AND(J11&lt;&gt;"",J11&gt;Identificação!$B$9),"CV acima do limite: análise crítica (art. 6º, § 4º). ","")&amp;IF(K11="","Escolher o método na aba Itens. ","")&amp;IF(AND(O11&lt;&gt;"",N11&lt;&gt;"",N11&gt;O11),"Estimado acima do PMC-TIC: usado o PMC-TIC (IN 94, art. 20, § 3º). ","")))</f>
        <v/>
      </c>
    </row>
    <row r="12" customFormat="false" ht="15" hidden="false" customHeight="false" outlineLevel="0" collapsed="false">
      <c r="A12" s="20" t="str">
        <f aca="false">IF(Itens!A12="","",Itens!A12)</f>
        <v/>
      </c>
      <c r="B12" s="21" t="str">
        <f aca="false">IF(A12="","",Itens!B12)</f>
        <v/>
      </c>
      <c r="C12" s="20" t="str">
        <f aca="false">IF(A12="","",Itens!D12)</f>
        <v/>
      </c>
      <c r="D12" s="20" t="str">
        <f aca="false">IF(A12="","",Itens!E12)</f>
        <v/>
      </c>
      <c r="E12" s="20" t="str">
        <f aca="false">IF(A12="","",COUNTIFS(Coleta!$A$2:$A$301,A12,Coleta!$H$2:$H$301,"Válido"))</f>
        <v/>
      </c>
      <c r="F12" s="22" t="str">
        <f aca="false">IF(OR(A12="",E12=0),"",AVERAGEIFS(Coleta!$G$2:$G$301,Coleta!$A$2:$A$301,A12,Coleta!$H$2:$H$301,"Válido"))</f>
        <v/>
      </c>
      <c r="G12" s="22" t="str">
        <f aca="false" t="array" ref="G12:G12">IF(OR(A12="",E12=0),"",MEDIAN(IF((Coleta!$A$2:$A$301=A12)*(Coleta!$H$2:$H$301="Válido"),Coleta!$G$2:$G$301)))</f>
        <v/>
      </c>
      <c r="H12" s="22" t="str">
        <f aca="false">IF(OR(A12="",E12=0),"",_xlfn.MINIFS(Coleta!$G$2:$G$301,Coleta!$A$2:$A$301,A12,Coleta!$H$2:$H$301,"Válido"))</f>
        <v/>
      </c>
      <c r="I12" s="22" t="str">
        <f aca="false" t="array" ref="I12:I12">IF(OR(A12="",E12&lt;2),"",STDEV(IF((Coleta!$A$2:$A$301=A12)*(Coleta!$H$2:$H$301="Válido"),Coleta!$G$2:$G$301)))</f>
        <v/>
      </c>
      <c r="J12" s="23" t="str">
        <f aca="false">IF(OR(A12="",E12&lt;2),"",I12/F12)</f>
        <v/>
      </c>
      <c r="K12" s="20" t="str">
        <f aca="false">IF(A12="","",Itens!F12)</f>
        <v/>
      </c>
      <c r="L12" s="22" t="str">
        <f aca="false">IF(OR(A12="",E12=0,K12=""),"",IF(K12="Média",F12,IF(K12="Mediana",G12,H12)))</f>
        <v/>
      </c>
      <c r="M12" s="24" t="str">
        <f aca="false">IF(A12="","",IF(Itens!G12="",0,Itens!G12))</f>
        <v/>
      </c>
      <c r="N12" s="22" t="str">
        <f aca="false">IF(L12="","",ROUND(L12*(1+M12),2))</f>
        <v/>
      </c>
      <c r="O12" s="22" t="str">
        <f aca="false">IF(OR(A12="",Itens!H12=""),"",Itens!H12)</f>
        <v/>
      </c>
      <c r="P12" s="22" t="str">
        <f aca="false">IF(OR(N12="",D12=""),"",IF(O12="",N12,MIN(N12,O12))*D12)</f>
        <v/>
      </c>
      <c r="Q12" s="21" t="str">
        <f aca="false">IF(A12="","",TRIM(IF(E12&lt;3,"Menos de 3 preços válidos: justificar e aprovar (art. 6º, § 5º). ","")&amp;IF(COUNTIFS(Coleta!$A$2:$A$301,A12,Coleta!$H$2:$H$301,"Válido",Coleta!$B$2:$B$301,"I")+COUNTIFS(Coleta!$A$2:$A$301,A12,Coleta!$H$2:$H$301,"Válido",Coleta!$B$2:$B$301,"II")=0,"Sem preço dos parâmetros I ou II: justificar (art. 5º, § 1º). ","")&amp;IF(AND(J12&lt;&gt;"",J12&gt;Identificação!$B$9),"CV acima do limite: análise crítica (art. 6º, § 4º). ","")&amp;IF(K12="","Escolher o método na aba Itens. ","")&amp;IF(AND(O12&lt;&gt;"",N12&lt;&gt;"",N12&gt;O12),"Estimado acima do PMC-TIC: usado o PMC-TIC (IN 94, art. 20, § 3º). ","")))</f>
        <v/>
      </c>
    </row>
    <row r="13" customFormat="false" ht="15" hidden="false" customHeight="false" outlineLevel="0" collapsed="false">
      <c r="A13" s="20" t="str">
        <f aca="false">IF(Itens!A13="","",Itens!A13)</f>
        <v/>
      </c>
      <c r="B13" s="21" t="str">
        <f aca="false">IF(A13="","",Itens!B13)</f>
        <v/>
      </c>
      <c r="C13" s="20" t="str">
        <f aca="false">IF(A13="","",Itens!D13)</f>
        <v/>
      </c>
      <c r="D13" s="20" t="str">
        <f aca="false">IF(A13="","",Itens!E13)</f>
        <v/>
      </c>
      <c r="E13" s="20" t="str">
        <f aca="false">IF(A13="","",COUNTIFS(Coleta!$A$2:$A$301,A13,Coleta!$H$2:$H$301,"Válido"))</f>
        <v/>
      </c>
      <c r="F13" s="22" t="str">
        <f aca="false">IF(OR(A13="",E13=0),"",AVERAGEIFS(Coleta!$G$2:$G$301,Coleta!$A$2:$A$301,A13,Coleta!$H$2:$H$301,"Válido"))</f>
        <v/>
      </c>
      <c r="G13" s="22" t="str">
        <f aca="false" t="array" ref="G13:G13">IF(OR(A13="",E13=0),"",MEDIAN(IF((Coleta!$A$2:$A$301=A13)*(Coleta!$H$2:$H$301="Válido"),Coleta!$G$2:$G$301)))</f>
        <v/>
      </c>
      <c r="H13" s="22" t="str">
        <f aca="false">IF(OR(A13="",E13=0),"",_xlfn.MINIFS(Coleta!$G$2:$G$301,Coleta!$A$2:$A$301,A13,Coleta!$H$2:$H$301,"Válido"))</f>
        <v/>
      </c>
      <c r="I13" s="22" t="str">
        <f aca="false" t="array" ref="I13:I13">IF(OR(A13="",E13&lt;2),"",STDEV(IF((Coleta!$A$2:$A$301=A13)*(Coleta!$H$2:$H$301="Válido"),Coleta!$G$2:$G$301)))</f>
        <v/>
      </c>
      <c r="J13" s="23" t="str">
        <f aca="false">IF(OR(A13="",E13&lt;2),"",I13/F13)</f>
        <v/>
      </c>
      <c r="K13" s="20" t="str">
        <f aca="false">IF(A13="","",Itens!F13)</f>
        <v/>
      </c>
      <c r="L13" s="22" t="str">
        <f aca="false">IF(OR(A13="",E13=0,K13=""),"",IF(K13="Média",F13,IF(K13="Mediana",G13,H13)))</f>
        <v/>
      </c>
      <c r="M13" s="24" t="str">
        <f aca="false">IF(A13="","",IF(Itens!G13="",0,Itens!G13))</f>
        <v/>
      </c>
      <c r="N13" s="22" t="str">
        <f aca="false">IF(L13="","",ROUND(L13*(1+M13),2))</f>
        <v/>
      </c>
      <c r="O13" s="22" t="str">
        <f aca="false">IF(OR(A13="",Itens!H13=""),"",Itens!H13)</f>
        <v/>
      </c>
      <c r="P13" s="22" t="str">
        <f aca="false">IF(OR(N13="",D13=""),"",IF(O13="",N13,MIN(N13,O13))*D13)</f>
        <v/>
      </c>
      <c r="Q13" s="21" t="str">
        <f aca="false">IF(A13="","",TRIM(IF(E13&lt;3,"Menos de 3 preços válidos: justificar e aprovar (art. 6º, § 5º). ","")&amp;IF(COUNTIFS(Coleta!$A$2:$A$301,A13,Coleta!$H$2:$H$301,"Válido",Coleta!$B$2:$B$301,"I")+COUNTIFS(Coleta!$A$2:$A$301,A13,Coleta!$H$2:$H$301,"Válido",Coleta!$B$2:$B$301,"II")=0,"Sem preço dos parâmetros I ou II: justificar (art. 5º, § 1º). ","")&amp;IF(AND(J13&lt;&gt;"",J13&gt;Identificação!$B$9),"CV acima do limite: análise crítica (art. 6º, § 4º). ","")&amp;IF(K13="","Escolher o método na aba Itens. ","")&amp;IF(AND(O13&lt;&gt;"",N13&lt;&gt;"",N13&gt;O13),"Estimado acima do PMC-TIC: usado o PMC-TIC (IN 94, art. 20, § 3º). ","")))</f>
        <v/>
      </c>
    </row>
    <row r="14" customFormat="false" ht="15" hidden="false" customHeight="false" outlineLevel="0" collapsed="false">
      <c r="A14" s="20" t="str">
        <f aca="false">IF(Itens!A14="","",Itens!A14)</f>
        <v/>
      </c>
      <c r="B14" s="21" t="str">
        <f aca="false">IF(A14="","",Itens!B14)</f>
        <v/>
      </c>
      <c r="C14" s="20" t="str">
        <f aca="false">IF(A14="","",Itens!D14)</f>
        <v/>
      </c>
      <c r="D14" s="20" t="str">
        <f aca="false">IF(A14="","",Itens!E14)</f>
        <v/>
      </c>
      <c r="E14" s="20" t="str">
        <f aca="false">IF(A14="","",COUNTIFS(Coleta!$A$2:$A$301,A14,Coleta!$H$2:$H$301,"Válido"))</f>
        <v/>
      </c>
      <c r="F14" s="22" t="str">
        <f aca="false">IF(OR(A14="",E14=0),"",AVERAGEIFS(Coleta!$G$2:$G$301,Coleta!$A$2:$A$301,A14,Coleta!$H$2:$H$301,"Válido"))</f>
        <v/>
      </c>
      <c r="G14" s="22" t="str">
        <f aca="false" t="array" ref="G14:G14">IF(OR(A14="",E14=0),"",MEDIAN(IF((Coleta!$A$2:$A$301=A14)*(Coleta!$H$2:$H$301="Válido"),Coleta!$G$2:$G$301)))</f>
        <v/>
      </c>
      <c r="H14" s="22" t="str">
        <f aca="false">IF(OR(A14="",E14=0),"",_xlfn.MINIFS(Coleta!$G$2:$G$301,Coleta!$A$2:$A$301,A14,Coleta!$H$2:$H$301,"Válido"))</f>
        <v/>
      </c>
      <c r="I14" s="22" t="str">
        <f aca="false" t="array" ref="I14:I14">IF(OR(A14="",E14&lt;2),"",STDEV(IF((Coleta!$A$2:$A$301=A14)*(Coleta!$H$2:$H$301="Válido"),Coleta!$G$2:$G$301)))</f>
        <v/>
      </c>
      <c r="J14" s="23" t="str">
        <f aca="false">IF(OR(A14="",E14&lt;2),"",I14/F14)</f>
        <v/>
      </c>
      <c r="K14" s="20" t="str">
        <f aca="false">IF(A14="","",Itens!F14)</f>
        <v/>
      </c>
      <c r="L14" s="22" t="str">
        <f aca="false">IF(OR(A14="",E14=0,K14=""),"",IF(K14="Média",F14,IF(K14="Mediana",G14,H14)))</f>
        <v/>
      </c>
      <c r="M14" s="24" t="str">
        <f aca="false">IF(A14="","",IF(Itens!G14="",0,Itens!G14))</f>
        <v/>
      </c>
      <c r="N14" s="22" t="str">
        <f aca="false">IF(L14="","",ROUND(L14*(1+M14),2))</f>
        <v/>
      </c>
      <c r="O14" s="22" t="str">
        <f aca="false">IF(OR(A14="",Itens!H14=""),"",Itens!H14)</f>
        <v/>
      </c>
      <c r="P14" s="22" t="str">
        <f aca="false">IF(OR(N14="",D14=""),"",IF(O14="",N14,MIN(N14,O14))*D14)</f>
        <v/>
      </c>
      <c r="Q14" s="21" t="str">
        <f aca="false">IF(A14="","",TRIM(IF(E14&lt;3,"Menos de 3 preços válidos: justificar e aprovar (art. 6º, § 5º). ","")&amp;IF(COUNTIFS(Coleta!$A$2:$A$301,A14,Coleta!$H$2:$H$301,"Válido",Coleta!$B$2:$B$301,"I")+COUNTIFS(Coleta!$A$2:$A$301,A14,Coleta!$H$2:$H$301,"Válido",Coleta!$B$2:$B$301,"II")=0,"Sem preço dos parâmetros I ou II: justificar (art. 5º, § 1º). ","")&amp;IF(AND(J14&lt;&gt;"",J14&gt;Identificação!$B$9),"CV acima do limite: análise crítica (art. 6º, § 4º). ","")&amp;IF(K14="","Escolher o método na aba Itens. ","")&amp;IF(AND(O14&lt;&gt;"",N14&lt;&gt;"",N14&gt;O14),"Estimado acima do PMC-TIC: usado o PMC-TIC (IN 94, art. 20, § 3º). ","")))</f>
        <v/>
      </c>
    </row>
    <row r="15" customFormat="false" ht="15" hidden="false" customHeight="false" outlineLevel="0" collapsed="false">
      <c r="A15" s="20" t="str">
        <f aca="false">IF(Itens!A15="","",Itens!A15)</f>
        <v/>
      </c>
      <c r="B15" s="21" t="str">
        <f aca="false">IF(A15="","",Itens!B15)</f>
        <v/>
      </c>
      <c r="C15" s="20" t="str">
        <f aca="false">IF(A15="","",Itens!D15)</f>
        <v/>
      </c>
      <c r="D15" s="20" t="str">
        <f aca="false">IF(A15="","",Itens!E15)</f>
        <v/>
      </c>
      <c r="E15" s="20" t="str">
        <f aca="false">IF(A15="","",COUNTIFS(Coleta!$A$2:$A$301,A15,Coleta!$H$2:$H$301,"Válido"))</f>
        <v/>
      </c>
      <c r="F15" s="22" t="str">
        <f aca="false">IF(OR(A15="",E15=0),"",AVERAGEIFS(Coleta!$G$2:$G$301,Coleta!$A$2:$A$301,A15,Coleta!$H$2:$H$301,"Válido"))</f>
        <v/>
      </c>
      <c r="G15" s="22" t="str">
        <f aca="false" t="array" ref="G15:G15">IF(OR(A15="",E15=0),"",MEDIAN(IF((Coleta!$A$2:$A$301=A15)*(Coleta!$H$2:$H$301="Válido"),Coleta!$G$2:$G$301)))</f>
        <v/>
      </c>
      <c r="H15" s="22" t="str">
        <f aca="false">IF(OR(A15="",E15=0),"",_xlfn.MINIFS(Coleta!$G$2:$G$301,Coleta!$A$2:$A$301,A15,Coleta!$H$2:$H$301,"Válido"))</f>
        <v/>
      </c>
      <c r="I15" s="22" t="str">
        <f aca="false" t="array" ref="I15:I15">IF(OR(A15="",E15&lt;2),"",STDEV(IF((Coleta!$A$2:$A$301=A15)*(Coleta!$H$2:$H$301="Válido"),Coleta!$G$2:$G$301)))</f>
        <v/>
      </c>
      <c r="J15" s="23" t="str">
        <f aca="false">IF(OR(A15="",E15&lt;2),"",I15/F15)</f>
        <v/>
      </c>
      <c r="K15" s="20" t="str">
        <f aca="false">IF(A15="","",Itens!F15)</f>
        <v/>
      </c>
      <c r="L15" s="22" t="str">
        <f aca="false">IF(OR(A15="",E15=0,K15=""),"",IF(K15="Média",F15,IF(K15="Mediana",G15,H15)))</f>
        <v/>
      </c>
      <c r="M15" s="24" t="str">
        <f aca="false">IF(A15="","",IF(Itens!G15="",0,Itens!G15))</f>
        <v/>
      </c>
      <c r="N15" s="22" t="str">
        <f aca="false">IF(L15="","",ROUND(L15*(1+M15),2))</f>
        <v/>
      </c>
      <c r="O15" s="22" t="str">
        <f aca="false">IF(OR(A15="",Itens!H15=""),"",Itens!H15)</f>
        <v/>
      </c>
      <c r="P15" s="22" t="str">
        <f aca="false">IF(OR(N15="",D15=""),"",IF(O15="",N15,MIN(N15,O15))*D15)</f>
        <v/>
      </c>
      <c r="Q15" s="21" t="str">
        <f aca="false">IF(A15="","",TRIM(IF(E15&lt;3,"Menos de 3 preços válidos: justificar e aprovar (art. 6º, § 5º). ","")&amp;IF(COUNTIFS(Coleta!$A$2:$A$301,A15,Coleta!$H$2:$H$301,"Válido",Coleta!$B$2:$B$301,"I")+COUNTIFS(Coleta!$A$2:$A$301,A15,Coleta!$H$2:$H$301,"Válido",Coleta!$B$2:$B$301,"II")=0,"Sem preço dos parâmetros I ou II: justificar (art. 5º, § 1º). ","")&amp;IF(AND(J15&lt;&gt;"",J15&gt;Identificação!$B$9),"CV acima do limite: análise crítica (art. 6º, § 4º). ","")&amp;IF(K15="","Escolher o método na aba Itens. ","")&amp;IF(AND(O15&lt;&gt;"",N15&lt;&gt;"",N15&gt;O15),"Estimado acima do PMC-TIC: usado o PMC-TIC (IN 94, art. 20, § 3º). ","")))</f>
        <v/>
      </c>
    </row>
    <row r="16" customFormat="false" ht="15" hidden="false" customHeight="false" outlineLevel="0" collapsed="false">
      <c r="A16" s="20" t="str">
        <f aca="false">IF(Itens!A16="","",Itens!A16)</f>
        <v/>
      </c>
      <c r="B16" s="21" t="str">
        <f aca="false">IF(A16="","",Itens!B16)</f>
        <v/>
      </c>
      <c r="C16" s="20" t="str">
        <f aca="false">IF(A16="","",Itens!D16)</f>
        <v/>
      </c>
      <c r="D16" s="20" t="str">
        <f aca="false">IF(A16="","",Itens!E16)</f>
        <v/>
      </c>
      <c r="E16" s="20" t="str">
        <f aca="false">IF(A16="","",COUNTIFS(Coleta!$A$2:$A$301,A16,Coleta!$H$2:$H$301,"Válido"))</f>
        <v/>
      </c>
      <c r="F16" s="22" t="str">
        <f aca="false">IF(OR(A16="",E16=0),"",AVERAGEIFS(Coleta!$G$2:$G$301,Coleta!$A$2:$A$301,A16,Coleta!$H$2:$H$301,"Válido"))</f>
        <v/>
      </c>
      <c r="G16" s="22" t="str">
        <f aca="false" t="array" ref="G16:G16">IF(OR(A16="",E16=0),"",MEDIAN(IF((Coleta!$A$2:$A$301=A16)*(Coleta!$H$2:$H$301="Válido"),Coleta!$G$2:$G$301)))</f>
        <v/>
      </c>
      <c r="H16" s="22" t="str">
        <f aca="false">IF(OR(A16="",E16=0),"",_xlfn.MINIFS(Coleta!$G$2:$G$301,Coleta!$A$2:$A$301,A16,Coleta!$H$2:$H$301,"Válido"))</f>
        <v/>
      </c>
      <c r="I16" s="22" t="str">
        <f aca="false" t="array" ref="I16:I16">IF(OR(A16="",E16&lt;2),"",STDEV(IF((Coleta!$A$2:$A$301=A16)*(Coleta!$H$2:$H$301="Válido"),Coleta!$G$2:$G$301)))</f>
        <v/>
      </c>
      <c r="J16" s="23" t="str">
        <f aca="false">IF(OR(A16="",E16&lt;2),"",I16/F16)</f>
        <v/>
      </c>
      <c r="K16" s="20" t="str">
        <f aca="false">IF(A16="","",Itens!F16)</f>
        <v/>
      </c>
      <c r="L16" s="22" t="str">
        <f aca="false">IF(OR(A16="",E16=0,K16=""),"",IF(K16="Média",F16,IF(K16="Mediana",G16,H16)))</f>
        <v/>
      </c>
      <c r="M16" s="24" t="str">
        <f aca="false">IF(A16="","",IF(Itens!G16="",0,Itens!G16))</f>
        <v/>
      </c>
      <c r="N16" s="22" t="str">
        <f aca="false">IF(L16="","",ROUND(L16*(1+M16),2))</f>
        <v/>
      </c>
      <c r="O16" s="22" t="str">
        <f aca="false">IF(OR(A16="",Itens!H16=""),"",Itens!H16)</f>
        <v/>
      </c>
      <c r="P16" s="22" t="str">
        <f aca="false">IF(OR(N16="",D16=""),"",IF(O16="",N16,MIN(N16,O16))*D16)</f>
        <v/>
      </c>
      <c r="Q16" s="21" t="str">
        <f aca="false">IF(A16="","",TRIM(IF(E16&lt;3,"Menos de 3 preços válidos: justificar e aprovar (art. 6º, § 5º). ","")&amp;IF(COUNTIFS(Coleta!$A$2:$A$301,A16,Coleta!$H$2:$H$301,"Válido",Coleta!$B$2:$B$301,"I")+COUNTIFS(Coleta!$A$2:$A$301,A16,Coleta!$H$2:$H$301,"Válido",Coleta!$B$2:$B$301,"II")=0,"Sem preço dos parâmetros I ou II: justificar (art. 5º, § 1º). ","")&amp;IF(AND(J16&lt;&gt;"",J16&gt;Identificação!$B$9),"CV acima do limite: análise crítica (art. 6º, § 4º). ","")&amp;IF(K16="","Escolher o método na aba Itens. ","")&amp;IF(AND(O16&lt;&gt;"",N16&lt;&gt;"",N16&gt;O16),"Estimado acima do PMC-TIC: usado o PMC-TIC (IN 94, art. 20, § 3º). ","")))</f>
        <v/>
      </c>
    </row>
    <row r="17" customFormat="false" ht="15" hidden="false" customHeight="false" outlineLevel="0" collapsed="false">
      <c r="A17" s="20" t="str">
        <f aca="false">IF(Itens!A17="","",Itens!A17)</f>
        <v/>
      </c>
      <c r="B17" s="21" t="str">
        <f aca="false">IF(A17="","",Itens!B17)</f>
        <v/>
      </c>
      <c r="C17" s="20" t="str">
        <f aca="false">IF(A17="","",Itens!D17)</f>
        <v/>
      </c>
      <c r="D17" s="20" t="str">
        <f aca="false">IF(A17="","",Itens!E17)</f>
        <v/>
      </c>
      <c r="E17" s="20" t="str">
        <f aca="false">IF(A17="","",COUNTIFS(Coleta!$A$2:$A$301,A17,Coleta!$H$2:$H$301,"Válido"))</f>
        <v/>
      </c>
      <c r="F17" s="22" t="str">
        <f aca="false">IF(OR(A17="",E17=0),"",AVERAGEIFS(Coleta!$G$2:$G$301,Coleta!$A$2:$A$301,A17,Coleta!$H$2:$H$301,"Válido"))</f>
        <v/>
      </c>
      <c r="G17" s="22" t="str">
        <f aca="false" t="array" ref="G17:G17">IF(OR(A17="",E17=0),"",MEDIAN(IF((Coleta!$A$2:$A$301=A17)*(Coleta!$H$2:$H$301="Válido"),Coleta!$G$2:$G$301)))</f>
        <v/>
      </c>
      <c r="H17" s="22" t="str">
        <f aca="false">IF(OR(A17="",E17=0),"",_xlfn.MINIFS(Coleta!$G$2:$G$301,Coleta!$A$2:$A$301,A17,Coleta!$H$2:$H$301,"Válido"))</f>
        <v/>
      </c>
      <c r="I17" s="22" t="str">
        <f aca="false" t="array" ref="I17:I17">IF(OR(A17="",E17&lt;2),"",STDEV(IF((Coleta!$A$2:$A$301=A17)*(Coleta!$H$2:$H$301="Válido"),Coleta!$G$2:$G$301)))</f>
        <v/>
      </c>
      <c r="J17" s="23" t="str">
        <f aca="false">IF(OR(A17="",E17&lt;2),"",I17/F17)</f>
        <v/>
      </c>
      <c r="K17" s="20" t="str">
        <f aca="false">IF(A17="","",Itens!F17)</f>
        <v/>
      </c>
      <c r="L17" s="22" t="str">
        <f aca="false">IF(OR(A17="",E17=0,K17=""),"",IF(K17="Média",F17,IF(K17="Mediana",G17,H17)))</f>
        <v/>
      </c>
      <c r="M17" s="24" t="str">
        <f aca="false">IF(A17="","",IF(Itens!G17="",0,Itens!G17))</f>
        <v/>
      </c>
      <c r="N17" s="22" t="str">
        <f aca="false">IF(L17="","",ROUND(L17*(1+M17),2))</f>
        <v/>
      </c>
      <c r="O17" s="22" t="str">
        <f aca="false">IF(OR(A17="",Itens!H17=""),"",Itens!H17)</f>
        <v/>
      </c>
      <c r="P17" s="22" t="str">
        <f aca="false">IF(OR(N17="",D17=""),"",IF(O17="",N17,MIN(N17,O17))*D17)</f>
        <v/>
      </c>
      <c r="Q17" s="21" t="str">
        <f aca="false">IF(A17="","",TRIM(IF(E17&lt;3,"Menos de 3 preços válidos: justificar e aprovar (art. 6º, § 5º). ","")&amp;IF(COUNTIFS(Coleta!$A$2:$A$301,A17,Coleta!$H$2:$H$301,"Válido",Coleta!$B$2:$B$301,"I")+COUNTIFS(Coleta!$A$2:$A$301,A17,Coleta!$H$2:$H$301,"Válido",Coleta!$B$2:$B$301,"II")=0,"Sem preço dos parâmetros I ou II: justificar (art. 5º, § 1º). ","")&amp;IF(AND(J17&lt;&gt;"",J17&gt;Identificação!$B$9),"CV acima do limite: análise crítica (art. 6º, § 4º). ","")&amp;IF(K17="","Escolher o método na aba Itens. ","")&amp;IF(AND(O17&lt;&gt;"",N17&lt;&gt;"",N17&gt;O17),"Estimado acima do PMC-TIC: usado o PMC-TIC (IN 94, art. 20, § 3º). ","")))</f>
        <v/>
      </c>
    </row>
    <row r="18" customFormat="false" ht="15" hidden="false" customHeight="false" outlineLevel="0" collapsed="false">
      <c r="A18" s="20" t="str">
        <f aca="false">IF(Itens!A18="","",Itens!A18)</f>
        <v/>
      </c>
      <c r="B18" s="21" t="str">
        <f aca="false">IF(A18="","",Itens!B18)</f>
        <v/>
      </c>
      <c r="C18" s="20" t="str">
        <f aca="false">IF(A18="","",Itens!D18)</f>
        <v/>
      </c>
      <c r="D18" s="20" t="str">
        <f aca="false">IF(A18="","",Itens!E18)</f>
        <v/>
      </c>
      <c r="E18" s="20" t="str">
        <f aca="false">IF(A18="","",COUNTIFS(Coleta!$A$2:$A$301,A18,Coleta!$H$2:$H$301,"Válido"))</f>
        <v/>
      </c>
      <c r="F18" s="22" t="str">
        <f aca="false">IF(OR(A18="",E18=0),"",AVERAGEIFS(Coleta!$G$2:$G$301,Coleta!$A$2:$A$301,A18,Coleta!$H$2:$H$301,"Válido"))</f>
        <v/>
      </c>
      <c r="G18" s="22" t="str">
        <f aca="false" t="array" ref="G18:G18">IF(OR(A18="",E18=0),"",MEDIAN(IF((Coleta!$A$2:$A$301=A18)*(Coleta!$H$2:$H$301="Válido"),Coleta!$G$2:$G$301)))</f>
        <v/>
      </c>
      <c r="H18" s="22" t="str">
        <f aca="false">IF(OR(A18="",E18=0),"",_xlfn.MINIFS(Coleta!$G$2:$G$301,Coleta!$A$2:$A$301,A18,Coleta!$H$2:$H$301,"Válido"))</f>
        <v/>
      </c>
      <c r="I18" s="22" t="str">
        <f aca="false" t="array" ref="I18:I18">IF(OR(A18="",E18&lt;2),"",STDEV(IF((Coleta!$A$2:$A$301=A18)*(Coleta!$H$2:$H$301="Válido"),Coleta!$G$2:$G$301)))</f>
        <v/>
      </c>
      <c r="J18" s="23" t="str">
        <f aca="false">IF(OR(A18="",E18&lt;2),"",I18/F18)</f>
        <v/>
      </c>
      <c r="K18" s="20" t="str">
        <f aca="false">IF(A18="","",Itens!F18)</f>
        <v/>
      </c>
      <c r="L18" s="22" t="str">
        <f aca="false">IF(OR(A18="",E18=0,K18=""),"",IF(K18="Média",F18,IF(K18="Mediana",G18,H18)))</f>
        <v/>
      </c>
      <c r="M18" s="24" t="str">
        <f aca="false">IF(A18="","",IF(Itens!G18="",0,Itens!G18))</f>
        <v/>
      </c>
      <c r="N18" s="22" t="str">
        <f aca="false">IF(L18="","",ROUND(L18*(1+M18),2))</f>
        <v/>
      </c>
      <c r="O18" s="22" t="str">
        <f aca="false">IF(OR(A18="",Itens!H18=""),"",Itens!H18)</f>
        <v/>
      </c>
      <c r="P18" s="22" t="str">
        <f aca="false">IF(OR(N18="",D18=""),"",IF(O18="",N18,MIN(N18,O18))*D18)</f>
        <v/>
      </c>
      <c r="Q18" s="21" t="str">
        <f aca="false">IF(A18="","",TRIM(IF(E18&lt;3,"Menos de 3 preços válidos: justificar e aprovar (art. 6º, § 5º). ","")&amp;IF(COUNTIFS(Coleta!$A$2:$A$301,A18,Coleta!$H$2:$H$301,"Válido",Coleta!$B$2:$B$301,"I")+COUNTIFS(Coleta!$A$2:$A$301,A18,Coleta!$H$2:$H$301,"Válido",Coleta!$B$2:$B$301,"II")=0,"Sem preço dos parâmetros I ou II: justificar (art. 5º, § 1º). ","")&amp;IF(AND(J18&lt;&gt;"",J18&gt;Identificação!$B$9),"CV acima do limite: análise crítica (art. 6º, § 4º). ","")&amp;IF(K18="","Escolher o método na aba Itens. ","")&amp;IF(AND(O18&lt;&gt;"",N18&lt;&gt;"",N18&gt;O18),"Estimado acima do PMC-TIC: usado o PMC-TIC (IN 94, art. 20, § 3º). ","")))</f>
        <v/>
      </c>
    </row>
    <row r="19" customFormat="false" ht="15" hidden="false" customHeight="false" outlineLevel="0" collapsed="false">
      <c r="A19" s="20" t="str">
        <f aca="false">IF(Itens!A19="","",Itens!A19)</f>
        <v/>
      </c>
      <c r="B19" s="21" t="str">
        <f aca="false">IF(A19="","",Itens!B19)</f>
        <v/>
      </c>
      <c r="C19" s="20" t="str">
        <f aca="false">IF(A19="","",Itens!D19)</f>
        <v/>
      </c>
      <c r="D19" s="20" t="str">
        <f aca="false">IF(A19="","",Itens!E19)</f>
        <v/>
      </c>
      <c r="E19" s="20" t="str">
        <f aca="false">IF(A19="","",COUNTIFS(Coleta!$A$2:$A$301,A19,Coleta!$H$2:$H$301,"Válido"))</f>
        <v/>
      </c>
      <c r="F19" s="22" t="str">
        <f aca="false">IF(OR(A19="",E19=0),"",AVERAGEIFS(Coleta!$G$2:$G$301,Coleta!$A$2:$A$301,A19,Coleta!$H$2:$H$301,"Válido"))</f>
        <v/>
      </c>
      <c r="G19" s="22" t="str">
        <f aca="false" t="array" ref="G19:G19">IF(OR(A19="",E19=0),"",MEDIAN(IF((Coleta!$A$2:$A$301=A19)*(Coleta!$H$2:$H$301="Válido"),Coleta!$G$2:$G$301)))</f>
        <v/>
      </c>
      <c r="H19" s="22" t="str">
        <f aca="false">IF(OR(A19="",E19=0),"",_xlfn.MINIFS(Coleta!$G$2:$G$301,Coleta!$A$2:$A$301,A19,Coleta!$H$2:$H$301,"Válido"))</f>
        <v/>
      </c>
      <c r="I19" s="22" t="str">
        <f aca="false" t="array" ref="I19:I19">IF(OR(A19="",E19&lt;2),"",STDEV(IF((Coleta!$A$2:$A$301=A19)*(Coleta!$H$2:$H$301="Válido"),Coleta!$G$2:$G$301)))</f>
        <v/>
      </c>
      <c r="J19" s="23" t="str">
        <f aca="false">IF(OR(A19="",E19&lt;2),"",I19/F19)</f>
        <v/>
      </c>
      <c r="K19" s="20" t="str">
        <f aca="false">IF(A19="","",Itens!F19)</f>
        <v/>
      </c>
      <c r="L19" s="22" t="str">
        <f aca="false">IF(OR(A19="",E19=0,K19=""),"",IF(K19="Média",F19,IF(K19="Mediana",G19,H19)))</f>
        <v/>
      </c>
      <c r="M19" s="24" t="str">
        <f aca="false">IF(A19="","",IF(Itens!G19="",0,Itens!G19))</f>
        <v/>
      </c>
      <c r="N19" s="22" t="str">
        <f aca="false">IF(L19="","",ROUND(L19*(1+M19),2))</f>
        <v/>
      </c>
      <c r="O19" s="22" t="str">
        <f aca="false">IF(OR(A19="",Itens!H19=""),"",Itens!H19)</f>
        <v/>
      </c>
      <c r="P19" s="22" t="str">
        <f aca="false">IF(OR(N19="",D19=""),"",IF(O19="",N19,MIN(N19,O19))*D19)</f>
        <v/>
      </c>
      <c r="Q19" s="21" t="str">
        <f aca="false">IF(A19="","",TRIM(IF(E19&lt;3,"Menos de 3 preços válidos: justificar e aprovar (art. 6º, § 5º). ","")&amp;IF(COUNTIFS(Coleta!$A$2:$A$301,A19,Coleta!$H$2:$H$301,"Válido",Coleta!$B$2:$B$301,"I")+COUNTIFS(Coleta!$A$2:$A$301,A19,Coleta!$H$2:$H$301,"Válido",Coleta!$B$2:$B$301,"II")=0,"Sem preço dos parâmetros I ou II: justificar (art. 5º, § 1º). ","")&amp;IF(AND(J19&lt;&gt;"",J19&gt;Identificação!$B$9),"CV acima do limite: análise crítica (art. 6º, § 4º). ","")&amp;IF(K19="","Escolher o método na aba Itens. ","")&amp;IF(AND(O19&lt;&gt;"",N19&lt;&gt;"",N19&gt;O19),"Estimado acima do PMC-TIC: usado o PMC-TIC (IN 94, art. 20, § 3º). ","")))</f>
        <v/>
      </c>
    </row>
    <row r="20" customFormat="false" ht="15" hidden="false" customHeight="false" outlineLevel="0" collapsed="false">
      <c r="A20" s="20" t="str">
        <f aca="false">IF(Itens!A20="","",Itens!A20)</f>
        <v/>
      </c>
      <c r="B20" s="21" t="str">
        <f aca="false">IF(A20="","",Itens!B20)</f>
        <v/>
      </c>
      <c r="C20" s="20" t="str">
        <f aca="false">IF(A20="","",Itens!D20)</f>
        <v/>
      </c>
      <c r="D20" s="20" t="str">
        <f aca="false">IF(A20="","",Itens!E20)</f>
        <v/>
      </c>
      <c r="E20" s="20" t="str">
        <f aca="false">IF(A20="","",COUNTIFS(Coleta!$A$2:$A$301,A20,Coleta!$H$2:$H$301,"Válido"))</f>
        <v/>
      </c>
      <c r="F20" s="22" t="str">
        <f aca="false">IF(OR(A20="",E20=0),"",AVERAGEIFS(Coleta!$G$2:$G$301,Coleta!$A$2:$A$301,A20,Coleta!$H$2:$H$301,"Válido"))</f>
        <v/>
      </c>
      <c r="G20" s="22" t="str">
        <f aca="false" t="array" ref="G20:G20">IF(OR(A20="",E20=0),"",MEDIAN(IF((Coleta!$A$2:$A$301=A20)*(Coleta!$H$2:$H$301="Válido"),Coleta!$G$2:$G$301)))</f>
        <v/>
      </c>
      <c r="H20" s="22" t="str">
        <f aca="false">IF(OR(A20="",E20=0),"",_xlfn.MINIFS(Coleta!$G$2:$G$301,Coleta!$A$2:$A$301,A20,Coleta!$H$2:$H$301,"Válido"))</f>
        <v/>
      </c>
      <c r="I20" s="22" t="str">
        <f aca="false" t="array" ref="I20:I20">IF(OR(A20="",E20&lt;2),"",STDEV(IF((Coleta!$A$2:$A$301=A20)*(Coleta!$H$2:$H$301="Válido"),Coleta!$G$2:$G$301)))</f>
        <v/>
      </c>
      <c r="J20" s="23" t="str">
        <f aca="false">IF(OR(A20="",E20&lt;2),"",I20/F20)</f>
        <v/>
      </c>
      <c r="K20" s="20" t="str">
        <f aca="false">IF(A20="","",Itens!F20)</f>
        <v/>
      </c>
      <c r="L20" s="22" t="str">
        <f aca="false">IF(OR(A20="",E20=0,K20=""),"",IF(K20="Média",F20,IF(K20="Mediana",G20,H20)))</f>
        <v/>
      </c>
      <c r="M20" s="24" t="str">
        <f aca="false">IF(A20="","",IF(Itens!G20="",0,Itens!G20))</f>
        <v/>
      </c>
      <c r="N20" s="22" t="str">
        <f aca="false">IF(L20="","",ROUND(L20*(1+M20),2))</f>
        <v/>
      </c>
      <c r="O20" s="22" t="str">
        <f aca="false">IF(OR(A20="",Itens!H20=""),"",Itens!H20)</f>
        <v/>
      </c>
      <c r="P20" s="22" t="str">
        <f aca="false">IF(OR(N20="",D20=""),"",IF(O20="",N20,MIN(N20,O20))*D20)</f>
        <v/>
      </c>
      <c r="Q20" s="21" t="str">
        <f aca="false">IF(A20="","",TRIM(IF(E20&lt;3,"Menos de 3 preços válidos: justificar e aprovar (art. 6º, § 5º). ","")&amp;IF(COUNTIFS(Coleta!$A$2:$A$301,A20,Coleta!$H$2:$H$301,"Válido",Coleta!$B$2:$B$301,"I")+COUNTIFS(Coleta!$A$2:$A$301,A20,Coleta!$H$2:$H$301,"Válido",Coleta!$B$2:$B$301,"II")=0,"Sem preço dos parâmetros I ou II: justificar (art. 5º, § 1º). ","")&amp;IF(AND(J20&lt;&gt;"",J20&gt;Identificação!$B$9),"CV acima do limite: análise crítica (art. 6º, § 4º). ","")&amp;IF(K20="","Escolher o método na aba Itens. ","")&amp;IF(AND(O20&lt;&gt;"",N20&lt;&gt;"",N20&gt;O20),"Estimado acima do PMC-TIC: usado o PMC-TIC (IN 94, art. 20, § 3º). ","")))</f>
        <v/>
      </c>
    </row>
    <row r="21" customFormat="false" ht="15" hidden="false" customHeight="false" outlineLevel="0" collapsed="false">
      <c r="A21" s="20" t="str">
        <f aca="false">IF(Itens!A21="","",Itens!A21)</f>
        <v/>
      </c>
      <c r="B21" s="21" t="str">
        <f aca="false">IF(A21="","",Itens!B21)</f>
        <v/>
      </c>
      <c r="C21" s="20" t="str">
        <f aca="false">IF(A21="","",Itens!D21)</f>
        <v/>
      </c>
      <c r="D21" s="20" t="str">
        <f aca="false">IF(A21="","",Itens!E21)</f>
        <v/>
      </c>
      <c r="E21" s="20" t="str">
        <f aca="false">IF(A21="","",COUNTIFS(Coleta!$A$2:$A$301,A21,Coleta!$H$2:$H$301,"Válido"))</f>
        <v/>
      </c>
      <c r="F21" s="22" t="str">
        <f aca="false">IF(OR(A21="",E21=0),"",AVERAGEIFS(Coleta!$G$2:$G$301,Coleta!$A$2:$A$301,A21,Coleta!$H$2:$H$301,"Válido"))</f>
        <v/>
      </c>
      <c r="G21" s="22" t="str">
        <f aca="false" t="array" ref="G21:G21">IF(OR(A21="",E21=0),"",MEDIAN(IF((Coleta!$A$2:$A$301=A21)*(Coleta!$H$2:$H$301="Válido"),Coleta!$G$2:$G$301)))</f>
        <v/>
      </c>
      <c r="H21" s="22" t="str">
        <f aca="false">IF(OR(A21="",E21=0),"",_xlfn.MINIFS(Coleta!$G$2:$G$301,Coleta!$A$2:$A$301,A21,Coleta!$H$2:$H$301,"Válido"))</f>
        <v/>
      </c>
      <c r="I21" s="22" t="str">
        <f aca="false" t="array" ref="I21:I21">IF(OR(A21="",E21&lt;2),"",STDEV(IF((Coleta!$A$2:$A$301=A21)*(Coleta!$H$2:$H$301="Válido"),Coleta!$G$2:$G$301)))</f>
        <v/>
      </c>
      <c r="J21" s="23" t="str">
        <f aca="false">IF(OR(A21="",E21&lt;2),"",I21/F21)</f>
        <v/>
      </c>
      <c r="K21" s="20" t="str">
        <f aca="false">IF(A21="","",Itens!F21)</f>
        <v/>
      </c>
      <c r="L21" s="22" t="str">
        <f aca="false">IF(OR(A21="",E21=0,K21=""),"",IF(K21="Média",F21,IF(K21="Mediana",G21,H21)))</f>
        <v/>
      </c>
      <c r="M21" s="24" t="str">
        <f aca="false">IF(A21="","",IF(Itens!G21="",0,Itens!G21))</f>
        <v/>
      </c>
      <c r="N21" s="22" t="str">
        <f aca="false">IF(L21="","",ROUND(L21*(1+M21),2))</f>
        <v/>
      </c>
      <c r="O21" s="22" t="str">
        <f aca="false">IF(OR(A21="",Itens!H21=""),"",Itens!H21)</f>
        <v/>
      </c>
      <c r="P21" s="22" t="str">
        <f aca="false">IF(OR(N21="",D21=""),"",IF(O21="",N21,MIN(N21,O21))*D21)</f>
        <v/>
      </c>
      <c r="Q21" s="21" t="str">
        <f aca="false">IF(A21="","",TRIM(IF(E21&lt;3,"Menos de 3 preços válidos: justificar e aprovar (art. 6º, § 5º). ","")&amp;IF(COUNTIFS(Coleta!$A$2:$A$301,A21,Coleta!$H$2:$H$301,"Válido",Coleta!$B$2:$B$301,"I")+COUNTIFS(Coleta!$A$2:$A$301,A21,Coleta!$H$2:$H$301,"Válido",Coleta!$B$2:$B$301,"II")=0,"Sem preço dos parâmetros I ou II: justificar (art. 5º, § 1º). ","")&amp;IF(AND(J21&lt;&gt;"",J21&gt;Identificação!$B$9),"CV acima do limite: análise crítica (art. 6º, § 4º). ","")&amp;IF(K21="","Escolher o método na aba Itens. ","")&amp;IF(AND(O21&lt;&gt;"",N21&lt;&gt;"",N21&gt;O21),"Estimado acima do PMC-TIC: usado o PMC-TIC (IN 94, art. 20, § 3º). ","")))</f>
        <v/>
      </c>
    </row>
    <row r="22" customFormat="false" ht="15" hidden="false" customHeight="false" outlineLevel="0" collapsed="false">
      <c r="A22" s="20" t="str">
        <f aca="false">IF(Itens!A22="","",Itens!A22)</f>
        <v/>
      </c>
      <c r="B22" s="21" t="str">
        <f aca="false">IF(A22="","",Itens!B22)</f>
        <v/>
      </c>
      <c r="C22" s="20" t="str">
        <f aca="false">IF(A22="","",Itens!D22)</f>
        <v/>
      </c>
      <c r="D22" s="20" t="str">
        <f aca="false">IF(A22="","",Itens!E22)</f>
        <v/>
      </c>
      <c r="E22" s="20" t="str">
        <f aca="false">IF(A22="","",COUNTIFS(Coleta!$A$2:$A$301,A22,Coleta!$H$2:$H$301,"Válido"))</f>
        <v/>
      </c>
      <c r="F22" s="22" t="str">
        <f aca="false">IF(OR(A22="",E22=0),"",AVERAGEIFS(Coleta!$G$2:$G$301,Coleta!$A$2:$A$301,A22,Coleta!$H$2:$H$301,"Válido"))</f>
        <v/>
      </c>
      <c r="G22" s="22" t="str">
        <f aca="false" t="array" ref="G22:G22">IF(OR(A22="",E22=0),"",MEDIAN(IF((Coleta!$A$2:$A$301=A22)*(Coleta!$H$2:$H$301="Válido"),Coleta!$G$2:$G$301)))</f>
        <v/>
      </c>
      <c r="H22" s="22" t="str">
        <f aca="false">IF(OR(A22="",E22=0),"",_xlfn.MINIFS(Coleta!$G$2:$G$301,Coleta!$A$2:$A$301,A22,Coleta!$H$2:$H$301,"Válido"))</f>
        <v/>
      </c>
      <c r="I22" s="22" t="str">
        <f aca="false" t="array" ref="I22:I22">IF(OR(A22="",E22&lt;2),"",STDEV(IF((Coleta!$A$2:$A$301=A22)*(Coleta!$H$2:$H$301="Válido"),Coleta!$G$2:$G$301)))</f>
        <v/>
      </c>
      <c r="J22" s="23" t="str">
        <f aca="false">IF(OR(A22="",E22&lt;2),"",I22/F22)</f>
        <v/>
      </c>
      <c r="K22" s="20" t="str">
        <f aca="false">IF(A22="","",Itens!F22)</f>
        <v/>
      </c>
      <c r="L22" s="22" t="str">
        <f aca="false">IF(OR(A22="",E22=0,K22=""),"",IF(K22="Média",F22,IF(K22="Mediana",G22,H22)))</f>
        <v/>
      </c>
      <c r="M22" s="24" t="str">
        <f aca="false">IF(A22="","",IF(Itens!G22="",0,Itens!G22))</f>
        <v/>
      </c>
      <c r="N22" s="22" t="str">
        <f aca="false">IF(L22="","",ROUND(L22*(1+M22),2))</f>
        <v/>
      </c>
      <c r="O22" s="22" t="str">
        <f aca="false">IF(OR(A22="",Itens!H22=""),"",Itens!H22)</f>
        <v/>
      </c>
      <c r="P22" s="22" t="str">
        <f aca="false">IF(OR(N22="",D22=""),"",IF(O22="",N22,MIN(N22,O22))*D22)</f>
        <v/>
      </c>
      <c r="Q22" s="21" t="str">
        <f aca="false">IF(A22="","",TRIM(IF(E22&lt;3,"Menos de 3 preços válidos: justificar e aprovar (art. 6º, § 5º). ","")&amp;IF(COUNTIFS(Coleta!$A$2:$A$301,A22,Coleta!$H$2:$H$301,"Válido",Coleta!$B$2:$B$301,"I")+COUNTIFS(Coleta!$A$2:$A$301,A22,Coleta!$H$2:$H$301,"Válido",Coleta!$B$2:$B$301,"II")=0,"Sem preço dos parâmetros I ou II: justificar (art. 5º, § 1º). ","")&amp;IF(AND(J22&lt;&gt;"",J22&gt;Identificação!$B$9),"CV acima do limite: análise crítica (art. 6º, § 4º). ","")&amp;IF(K22="","Escolher o método na aba Itens. ","")&amp;IF(AND(O22&lt;&gt;"",N22&lt;&gt;"",N22&gt;O22),"Estimado acima do PMC-TIC: usado o PMC-TIC (IN 94, art. 20, § 3º). ","")))</f>
        <v/>
      </c>
    </row>
    <row r="23" customFormat="false" ht="15" hidden="false" customHeight="false" outlineLevel="0" collapsed="false">
      <c r="A23" s="20" t="str">
        <f aca="false">IF(Itens!A23="","",Itens!A23)</f>
        <v/>
      </c>
      <c r="B23" s="21" t="str">
        <f aca="false">IF(A23="","",Itens!B23)</f>
        <v/>
      </c>
      <c r="C23" s="20" t="str">
        <f aca="false">IF(A23="","",Itens!D23)</f>
        <v/>
      </c>
      <c r="D23" s="20" t="str">
        <f aca="false">IF(A23="","",Itens!E23)</f>
        <v/>
      </c>
      <c r="E23" s="20" t="str">
        <f aca="false">IF(A23="","",COUNTIFS(Coleta!$A$2:$A$301,A23,Coleta!$H$2:$H$301,"Válido"))</f>
        <v/>
      </c>
      <c r="F23" s="22" t="str">
        <f aca="false">IF(OR(A23="",E23=0),"",AVERAGEIFS(Coleta!$G$2:$G$301,Coleta!$A$2:$A$301,A23,Coleta!$H$2:$H$301,"Válido"))</f>
        <v/>
      </c>
      <c r="G23" s="22" t="str">
        <f aca="false" t="array" ref="G23:G23">IF(OR(A23="",E23=0),"",MEDIAN(IF((Coleta!$A$2:$A$301=A23)*(Coleta!$H$2:$H$301="Válido"),Coleta!$G$2:$G$301)))</f>
        <v/>
      </c>
      <c r="H23" s="22" t="str">
        <f aca="false">IF(OR(A23="",E23=0),"",_xlfn.MINIFS(Coleta!$G$2:$G$301,Coleta!$A$2:$A$301,A23,Coleta!$H$2:$H$301,"Válido"))</f>
        <v/>
      </c>
      <c r="I23" s="22" t="str">
        <f aca="false" t="array" ref="I23:I23">IF(OR(A23="",E23&lt;2),"",STDEV(IF((Coleta!$A$2:$A$301=A23)*(Coleta!$H$2:$H$301="Válido"),Coleta!$G$2:$G$301)))</f>
        <v/>
      </c>
      <c r="J23" s="23" t="str">
        <f aca="false">IF(OR(A23="",E23&lt;2),"",I23/F23)</f>
        <v/>
      </c>
      <c r="K23" s="20" t="str">
        <f aca="false">IF(A23="","",Itens!F23)</f>
        <v/>
      </c>
      <c r="L23" s="22" t="str">
        <f aca="false">IF(OR(A23="",E23=0,K23=""),"",IF(K23="Média",F23,IF(K23="Mediana",G23,H23)))</f>
        <v/>
      </c>
      <c r="M23" s="24" t="str">
        <f aca="false">IF(A23="","",IF(Itens!G23="",0,Itens!G23))</f>
        <v/>
      </c>
      <c r="N23" s="22" t="str">
        <f aca="false">IF(L23="","",ROUND(L23*(1+M23),2))</f>
        <v/>
      </c>
      <c r="O23" s="22" t="str">
        <f aca="false">IF(OR(A23="",Itens!H23=""),"",Itens!H23)</f>
        <v/>
      </c>
      <c r="P23" s="22" t="str">
        <f aca="false">IF(OR(N23="",D23=""),"",IF(O23="",N23,MIN(N23,O23))*D23)</f>
        <v/>
      </c>
      <c r="Q23" s="21" t="str">
        <f aca="false">IF(A23="","",TRIM(IF(E23&lt;3,"Menos de 3 preços válidos: justificar e aprovar (art. 6º, § 5º). ","")&amp;IF(COUNTIFS(Coleta!$A$2:$A$301,A23,Coleta!$H$2:$H$301,"Válido",Coleta!$B$2:$B$301,"I")+COUNTIFS(Coleta!$A$2:$A$301,A23,Coleta!$H$2:$H$301,"Válido",Coleta!$B$2:$B$301,"II")=0,"Sem preço dos parâmetros I ou II: justificar (art. 5º, § 1º). ","")&amp;IF(AND(J23&lt;&gt;"",J23&gt;Identificação!$B$9),"CV acima do limite: análise crítica (art. 6º, § 4º). ","")&amp;IF(K23="","Escolher o método na aba Itens. ","")&amp;IF(AND(O23&lt;&gt;"",N23&lt;&gt;"",N23&gt;O23),"Estimado acima do PMC-TIC: usado o PMC-TIC (IN 94, art. 20, § 3º). ","")))</f>
        <v/>
      </c>
    </row>
    <row r="24" customFormat="false" ht="15" hidden="false" customHeight="false" outlineLevel="0" collapsed="false">
      <c r="A24" s="20" t="str">
        <f aca="false">IF(Itens!A24="","",Itens!A24)</f>
        <v/>
      </c>
      <c r="B24" s="21" t="str">
        <f aca="false">IF(A24="","",Itens!B24)</f>
        <v/>
      </c>
      <c r="C24" s="20" t="str">
        <f aca="false">IF(A24="","",Itens!D24)</f>
        <v/>
      </c>
      <c r="D24" s="20" t="str">
        <f aca="false">IF(A24="","",Itens!E24)</f>
        <v/>
      </c>
      <c r="E24" s="20" t="str">
        <f aca="false">IF(A24="","",COUNTIFS(Coleta!$A$2:$A$301,A24,Coleta!$H$2:$H$301,"Válido"))</f>
        <v/>
      </c>
      <c r="F24" s="22" t="str">
        <f aca="false">IF(OR(A24="",E24=0),"",AVERAGEIFS(Coleta!$G$2:$G$301,Coleta!$A$2:$A$301,A24,Coleta!$H$2:$H$301,"Válido"))</f>
        <v/>
      </c>
      <c r="G24" s="22" t="str">
        <f aca="false" t="array" ref="G24:G24">IF(OR(A24="",E24=0),"",MEDIAN(IF((Coleta!$A$2:$A$301=A24)*(Coleta!$H$2:$H$301="Válido"),Coleta!$G$2:$G$301)))</f>
        <v/>
      </c>
      <c r="H24" s="22" t="str">
        <f aca="false">IF(OR(A24="",E24=0),"",_xlfn.MINIFS(Coleta!$G$2:$G$301,Coleta!$A$2:$A$301,A24,Coleta!$H$2:$H$301,"Válido"))</f>
        <v/>
      </c>
      <c r="I24" s="22" t="str">
        <f aca="false" t="array" ref="I24:I24">IF(OR(A24="",E24&lt;2),"",STDEV(IF((Coleta!$A$2:$A$301=A24)*(Coleta!$H$2:$H$301="Válido"),Coleta!$G$2:$G$301)))</f>
        <v/>
      </c>
      <c r="J24" s="23" t="str">
        <f aca="false">IF(OR(A24="",E24&lt;2),"",I24/F24)</f>
        <v/>
      </c>
      <c r="K24" s="20" t="str">
        <f aca="false">IF(A24="","",Itens!F24)</f>
        <v/>
      </c>
      <c r="L24" s="22" t="str">
        <f aca="false">IF(OR(A24="",E24=0,K24=""),"",IF(K24="Média",F24,IF(K24="Mediana",G24,H24)))</f>
        <v/>
      </c>
      <c r="M24" s="24" t="str">
        <f aca="false">IF(A24="","",IF(Itens!G24="",0,Itens!G24))</f>
        <v/>
      </c>
      <c r="N24" s="22" t="str">
        <f aca="false">IF(L24="","",ROUND(L24*(1+M24),2))</f>
        <v/>
      </c>
      <c r="O24" s="22" t="str">
        <f aca="false">IF(OR(A24="",Itens!H24=""),"",Itens!H24)</f>
        <v/>
      </c>
      <c r="P24" s="22" t="str">
        <f aca="false">IF(OR(N24="",D24=""),"",IF(O24="",N24,MIN(N24,O24))*D24)</f>
        <v/>
      </c>
      <c r="Q24" s="21" t="str">
        <f aca="false">IF(A24="","",TRIM(IF(E24&lt;3,"Menos de 3 preços válidos: justificar e aprovar (art. 6º, § 5º). ","")&amp;IF(COUNTIFS(Coleta!$A$2:$A$301,A24,Coleta!$H$2:$H$301,"Válido",Coleta!$B$2:$B$301,"I")+COUNTIFS(Coleta!$A$2:$A$301,A24,Coleta!$H$2:$H$301,"Válido",Coleta!$B$2:$B$301,"II")=0,"Sem preço dos parâmetros I ou II: justificar (art. 5º, § 1º). ","")&amp;IF(AND(J24&lt;&gt;"",J24&gt;Identificação!$B$9),"CV acima do limite: análise crítica (art. 6º, § 4º). ","")&amp;IF(K24="","Escolher o método na aba Itens. ","")&amp;IF(AND(O24&lt;&gt;"",N24&lt;&gt;"",N24&gt;O24),"Estimado acima do PMC-TIC: usado o PMC-TIC (IN 94, art. 20, § 3º). ","")))</f>
        <v/>
      </c>
    </row>
    <row r="25" customFormat="false" ht="15" hidden="false" customHeight="false" outlineLevel="0" collapsed="false">
      <c r="A25" s="20" t="str">
        <f aca="false">IF(Itens!A25="","",Itens!A25)</f>
        <v/>
      </c>
      <c r="B25" s="21" t="str">
        <f aca="false">IF(A25="","",Itens!B25)</f>
        <v/>
      </c>
      <c r="C25" s="20" t="str">
        <f aca="false">IF(A25="","",Itens!D25)</f>
        <v/>
      </c>
      <c r="D25" s="20" t="str">
        <f aca="false">IF(A25="","",Itens!E25)</f>
        <v/>
      </c>
      <c r="E25" s="20" t="str">
        <f aca="false">IF(A25="","",COUNTIFS(Coleta!$A$2:$A$301,A25,Coleta!$H$2:$H$301,"Válido"))</f>
        <v/>
      </c>
      <c r="F25" s="22" t="str">
        <f aca="false">IF(OR(A25="",E25=0),"",AVERAGEIFS(Coleta!$G$2:$G$301,Coleta!$A$2:$A$301,A25,Coleta!$H$2:$H$301,"Válido"))</f>
        <v/>
      </c>
      <c r="G25" s="22" t="str">
        <f aca="false" t="array" ref="G25:G25">IF(OR(A25="",E25=0),"",MEDIAN(IF((Coleta!$A$2:$A$301=A25)*(Coleta!$H$2:$H$301="Válido"),Coleta!$G$2:$G$301)))</f>
        <v/>
      </c>
      <c r="H25" s="22" t="str">
        <f aca="false">IF(OR(A25="",E25=0),"",_xlfn.MINIFS(Coleta!$G$2:$G$301,Coleta!$A$2:$A$301,A25,Coleta!$H$2:$H$301,"Válido"))</f>
        <v/>
      </c>
      <c r="I25" s="22" t="str">
        <f aca="false" t="array" ref="I25:I25">IF(OR(A25="",E25&lt;2),"",STDEV(IF((Coleta!$A$2:$A$301=A25)*(Coleta!$H$2:$H$301="Válido"),Coleta!$G$2:$G$301)))</f>
        <v/>
      </c>
      <c r="J25" s="23" t="str">
        <f aca="false">IF(OR(A25="",E25&lt;2),"",I25/F25)</f>
        <v/>
      </c>
      <c r="K25" s="20" t="str">
        <f aca="false">IF(A25="","",Itens!F25)</f>
        <v/>
      </c>
      <c r="L25" s="22" t="str">
        <f aca="false">IF(OR(A25="",E25=0,K25=""),"",IF(K25="Média",F25,IF(K25="Mediana",G25,H25)))</f>
        <v/>
      </c>
      <c r="M25" s="24" t="str">
        <f aca="false">IF(A25="","",IF(Itens!G25="",0,Itens!G25))</f>
        <v/>
      </c>
      <c r="N25" s="22" t="str">
        <f aca="false">IF(L25="","",ROUND(L25*(1+M25),2))</f>
        <v/>
      </c>
      <c r="O25" s="22" t="str">
        <f aca="false">IF(OR(A25="",Itens!H25=""),"",Itens!H25)</f>
        <v/>
      </c>
      <c r="P25" s="22" t="str">
        <f aca="false">IF(OR(N25="",D25=""),"",IF(O25="",N25,MIN(N25,O25))*D25)</f>
        <v/>
      </c>
      <c r="Q25" s="21" t="str">
        <f aca="false">IF(A25="","",TRIM(IF(E25&lt;3,"Menos de 3 preços válidos: justificar e aprovar (art. 6º, § 5º). ","")&amp;IF(COUNTIFS(Coleta!$A$2:$A$301,A25,Coleta!$H$2:$H$301,"Válido",Coleta!$B$2:$B$301,"I")+COUNTIFS(Coleta!$A$2:$A$301,A25,Coleta!$H$2:$H$301,"Válido",Coleta!$B$2:$B$301,"II")=0,"Sem preço dos parâmetros I ou II: justificar (art. 5º, § 1º). ","")&amp;IF(AND(J25&lt;&gt;"",J25&gt;Identificação!$B$9),"CV acima do limite: análise crítica (art. 6º, § 4º). ","")&amp;IF(K25="","Escolher o método na aba Itens. ","")&amp;IF(AND(O25&lt;&gt;"",N25&lt;&gt;"",N25&gt;O25),"Estimado acima do PMC-TIC: usado o PMC-TIC (IN 94, art. 20, § 3º). ","")))</f>
        <v/>
      </c>
    </row>
    <row r="26" customFormat="false" ht="15" hidden="false" customHeight="false" outlineLevel="0" collapsed="false">
      <c r="A26" s="20" t="str">
        <f aca="false">IF(Itens!A26="","",Itens!A26)</f>
        <v/>
      </c>
      <c r="B26" s="21" t="str">
        <f aca="false">IF(A26="","",Itens!B26)</f>
        <v/>
      </c>
      <c r="C26" s="20" t="str">
        <f aca="false">IF(A26="","",Itens!D26)</f>
        <v/>
      </c>
      <c r="D26" s="20" t="str">
        <f aca="false">IF(A26="","",Itens!E26)</f>
        <v/>
      </c>
      <c r="E26" s="20" t="str">
        <f aca="false">IF(A26="","",COUNTIFS(Coleta!$A$2:$A$301,A26,Coleta!$H$2:$H$301,"Válido"))</f>
        <v/>
      </c>
      <c r="F26" s="22" t="str">
        <f aca="false">IF(OR(A26="",E26=0),"",AVERAGEIFS(Coleta!$G$2:$G$301,Coleta!$A$2:$A$301,A26,Coleta!$H$2:$H$301,"Válido"))</f>
        <v/>
      </c>
      <c r="G26" s="22" t="str">
        <f aca="false" t="array" ref="G26:G26">IF(OR(A26="",E26=0),"",MEDIAN(IF((Coleta!$A$2:$A$301=A26)*(Coleta!$H$2:$H$301="Válido"),Coleta!$G$2:$G$301)))</f>
        <v/>
      </c>
      <c r="H26" s="22" t="str">
        <f aca="false">IF(OR(A26="",E26=0),"",_xlfn.MINIFS(Coleta!$G$2:$G$301,Coleta!$A$2:$A$301,A26,Coleta!$H$2:$H$301,"Válido"))</f>
        <v/>
      </c>
      <c r="I26" s="22" t="str">
        <f aca="false" t="array" ref="I26:I26">IF(OR(A26="",E26&lt;2),"",STDEV(IF((Coleta!$A$2:$A$301=A26)*(Coleta!$H$2:$H$301="Válido"),Coleta!$G$2:$G$301)))</f>
        <v/>
      </c>
      <c r="J26" s="23" t="str">
        <f aca="false">IF(OR(A26="",E26&lt;2),"",I26/F26)</f>
        <v/>
      </c>
      <c r="K26" s="20" t="str">
        <f aca="false">IF(A26="","",Itens!F26)</f>
        <v/>
      </c>
      <c r="L26" s="22" t="str">
        <f aca="false">IF(OR(A26="",E26=0,K26=""),"",IF(K26="Média",F26,IF(K26="Mediana",G26,H26)))</f>
        <v/>
      </c>
      <c r="M26" s="24" t="str">
        <f aca="false">IF(A26="","",IF(Itens!G26="",0,Itens!G26))</f>
        <v/>
      </c>
      <c r="N26" s="22" t="str">
        <f aca="false">IF(L26="","",ROUND(L26*(1+M26),2))</f>
        <v/>
      </c>
      <c r="O26" s="22" t="str">
        <f aca="false">IF(OR(A26="",Itens!H26=""),"",Itens!H26)</f>
        <v/>
      </c>
      <c r="P26" s="22" t="str">
        <f aca="false">IF(OR(N26="",D26=""),"",IF(O26="",N26,MIN(N26,O26))*D26)</f>
        <v/>
      </c>
      <c r="Q26" s="21" t="str">
        <f aca="false">IF(A26="","",TRIM(IF(E26&lt;3,"Menos de 3 preços válidos: justificar e aprovar (art. 6º, § 5º). ","")&amp;IF(COUNTIFS(Coleta!$A$2:$A$301,A26,Coleta!$H$2:$H$301,"Válido",Coleta!$B$2:$B$301,"I")+COUNTIFS(Coleta!$A$2:$A$301,A26,Coleta!$H$2:$H$301,"Válido",Coleta!$B$2:$B$301,"II")=0,"Sem preço dos parâmetros I ou II: justificar (art. 5º, § 1º). ","")&amp;IF(AND(J26&lt;&gt;"",J26&gt;Identificação!$B$9),"CV acima do limite: análise crítica (art. 6º, § 4º). ","")&amp;IF(K26="","Escolher o método na aba Itens. ","")&amp;IF(AND(O26&lt;&gt;"",N26&lt;&gt;"",N26&gt;O26),"Estimado acima do PMC-TIC: usado o PMC-TIC (IN 94, art. 20, § 3º). ","")))</f>
        <v/>
      </c>
    </row>
    <row r="27" customFormat="false" ht="15" hidden="false" customHeight="false" outlineLevel="0" collapsed="false">
      <c r="A27" s="20" t="str">
        <f aca="false">IF(Itens!A27="","",Itens!A27)</f>
        <v/>
      </c>
      <c r="B27" s="21" t="str">
        <f aca="false">IF(A27="","",Itens!B27)</f>
        <v/>
      </c>
      <c r="C27" s="20" t="str">
        <f aca="false">IF(A27="","",Itens!D27)</f>
        <v/>
      </c>
      <c r="D27" s="20" t="str">
        <f aca="false">IF(A27="","",Itens!E27)</f>
        <v/>
      </c>
      <c r="E27" s="20" t="str">
        <f aca="false">IF(A27="","",COUNTIFS(Coleta!$A$2:$A$301,A27,Coleta!$H$2:$H$301,"Válido"))</f>
        <v/>
      </c>
      <c r="F27" s="22" t="str">
        <f aca="false">IF(OR(A27="",E27=0),"",AVERAGEIFS(Coleta!$G$2:$G$301,Coleta!$A$2:$A$301,A27,Coleta!$H$2:$H$301,"Válido"))</f>
        <v/>
      </c>
      <c r="G27" s="22" t="str">
        <f aca="false" t="array" ref="G27:G27">IF(OR(A27="",E27=0),"",MEDIAN(IF((Coleta!$A$2:$A$301=A27)*(Coleta!$H$2:$H$301="Válido"),Coleta!$G$2:$G$301)))</f>
        <v/>
      </c>
      <c r="H27" s="22" t="str">
        <f aca="false">IF(OR(A27="",E27=0),"",_xlfn.MINIFS(Coleta!$G$2:$G$301,Coleta!$A$2:$A$301,A27,Coleta!$H$2:$H$301,"Válido"))</f>
        <v/>
      </c>
      <c r="I27" s="22" t="str">
        <f aca="false" t="array" ref="I27:I27">IF(OR(A27="",E27&lt;2),"",STDEV(IF((Coleta!$A$2:$A$301=A27)*(Coleta!$H$2:$H$301="Válido"),Coleta!$G$2:$G$301)))</f>
        <v/>
      </c>
      <c r="J27" s="23" t="str">
        <f aca="false">IF(OR(A27="",E27&lt;2),"",I27/F27)</f>
        <v/>
      </c>
      <c r="K27" s="20" t="str">
        <f aca="false">IF(A27="","",Itens!F27)</f>
        <v/>
      </c>
      <c r="L27" s="22" t="str">
        <f aca="false">IF(OR(A27="",E27=0,K27=""),"",IF(K27="Média",F27,IF(K27="Mediana",G27,H27)))</f>
        <v/>
      </c>
      <c r="M27" s="24" t="str">
        <f aca="false">IF(A27="","",IF(Itens!G27="",0,Itens!G27))</f>
        <v/>
      </c>
      <c r="N27" s="22" t="str">
        <f aca="false">IF(L27="","",ROUND(L27*(1+M27),2))</f>
        <v/>
      </c>
      <c r="O27" s="22" t="str">
        <f aca="false">IF(OR(A27="",Itens!H27=""),"",Itens!H27)</f>
        <v/>
      </c>
      <c r="P27" s="22" t="str">
        <f aca="false">IF(OR(N27="",D27=""),"",IF(O27="",N27,MIN(N27,O27))*D27)</f>
        <v/>
      </c>
      <c r="Q27" s="21" t="str">
        <f aca="false">IF(A27="","",TRIM(IF(E27&lt;3,"Menos de 3 preços válidos: justificar e aprovar (art. 6º, § 5º). ","")&amp;IF(COUNTIFS(Coleta!$A$2:$A$301,A27,Coleta!$H$2:$H$301,"Válido",Coleta!$B$2:$B$301,"I")+COUNTIFS(Coleta!$A$2:$A$301,A27,Coleta!$H$2:$H$301,"Válido",Coleta!$B$2:$B$301,"II")=0,"Sem preço dos parâmetros I ou II: justificar (art. 5º, § 1º). ","")&amp;IF(AND(J27&lt;&gt;"",J27&gt;Identificação!$B$9),"CV acima do limite: análise crítica (art. 6º, § 4º). ","")&amp;IF(K27="","Escolher o método na aba Itens. ","")&amp;IF(AND(O27&lt;&gt;"",N27&lt;&gt;"",N27&gt;O27),"Estimado acima do PMC-TIC: usado o PMC-TIC (IN 94, art. 20, § 3º). ","")))</f>
        <v/>
      </c>
    </row>
    <row r="28" customFormat="false" ht="15" hidden="false" customHeight="false" outlineLevel="0" collapsed="false">
      <c r="A28" s="20" t="str">
        <f aca="false">IF(Itens!A28="","",Itens!A28)</f>
        <v/>
      </c>
      <c r="B28" s="21" t="str">
        <f aca="false">IF(A28="","",Itens!B28)</f>
        <v/>
      </c>
      <c r="C28" s="20" t="str">
        <f aca="false">IF(A28="","",Itens!D28)</f>
        <v/>
      </c>
      <c r="D28" s="20" t="str">
        <f aca="false">IF(A28="","",Itens!E28)</f>
        <v/>
      </c>
      <c r="E28" s="20" t="str">
        <f aca="false">IF(A28="","",COUNTIFS(Coleta!$A$2:$A$301,A28,Coleta!$H$2:$H$301,"Válido"))</f>
        <v/>
      </c>
      <c r="F28" s="22" t="str">
        <f aca="false">IF(OR(A28="",E28=0),"",AVERAGEIFS(Coleta!$G$2:$G$301,Coleta!$A$2:$A$301,A28,Coleta!$H$2:$H$301,"Válido"))</f>
        <v/>
      </c>
      <c r="G28" s="22" t="str">
        <f aca="false" t="array" ref="G28:G28">IF(OR(A28="",E28=0),"",MEDIAN(IF((Coleta!$A$2:$A$301=A28)*(Coleta!$H$2:$H$301="Válido"),Coleta!$G$2:$G$301)))</f>
        <v/>
      </c>
      <c r="H28" s="22" t="str">
        <f aca="false">IF(OR(A28="",E28=0),"",_xlfn.MINIFS(Coleta!$G$2:$G$301,Coleta!$A$2:$A$301,A28,Coleta!$H$2:$H$301,"Válido"))</f>
        <v/>
      </c>
      <c r="I28" s="22" t="str">
        <f aca="false" t="array" ref="I28:I28">IF(OR(A28="",E28&lt;2),"",STDEV(IF((Coleta!$A$2:$A$301=A28)*(Coleta!$H$2:$H$301="Válido"),Coleta!$G$2:$G$301)))</f>
        <v/>
      </c>
      <c r="J28" s="23" t="str">
        <f aca="false">IF(OR(A28="",E28&lt;2),"",I28/F28)</f>
        <v/>
      </c>
      <c r="K28" s="20" t="str">
        <f aca="false">IF(A28="","",Itens!F28)</f>
        <v/>
      </c>
      <c r="L28" s="22" t="str">
        <f aca="false">IF(OR(A28="",E28=0,K28=""),"",IF(K28="Média",F28,IF(K28="Mediana",G28,H28)))</f>
        <v/>
      </c>
      <c r="M28" s="24" t="str">
        <f aca="false">IF(A28="","",IF(Itens!G28="",0,Itens!G28))</f>
        <v/>
      </c>
      <c r="N28" s="22" t="str">
        <f aca="false">IF(L28="","",ROUND(L28*(1+M28),2))</f>
        <v/>
      </c>
      <c r="O28" s="22" t="str">
        <f aca="false">IF(OR(A28="",Itens!H28=""),"",Itens!H28)</f>
        <v/>
      </c>
      <c r="P28" s="22" t="str">
        <f aca="false">IF(OR(N28="",D28=""),"",IF(O28="",N28,MIN(N28,O28))*D28)</f>
        <v/>
      </c>
      <c r="Q28" s="21" t="str">
        <f aca="false">IF(A28="","",TRIM(IF(E28&lt;3,"Menos de 3 preços válidos: justificar e aprovar (art. 6º, § 5º). ","")&amp;IF(COUNTIFS(Coleta!$A$2:$A$301,A28,Coleta!$H$2:$H$301,"Válido",Coleta!$B$2:$B$301,"I")+COUNTIFS(Coleta!$A$2:$A$301,A28,Coleta!$H$2:$H$301,"Válido",Coleta!$B$2:$B$301,"II")=0,"Sem preço dos parâmetros I ou II: justificar (art. 5º, § 1º). ","")&amp;IF(AND(J28&lt;&gt;"",J28&gt;Identificação!$B$9),"CV acima do limite: análise crítica (art. 6º, § 4º). ","")&amp;IF(K28="","Escolher o método na aba Itens. ","")&amp;IF(AND(O28&lt;&gt;"",N28&lt;&gt;"",N28&gt;O28),"Estimado acima do PMC-TIC: usado o PMC-TIC (IN 94, art. 20, § 3º). ","")))</f>
        <v/>
      </c>
    </row>
    <row r="29" customFormat="false" ht="15" hidden="false" customHeight="false" outlineLevel="0" collapsed="false">
      <c r="A29" s="20" t="str">
        <f aca="false">IF(Itens!A29="","",Itens!A29)</f>
        <v/>
      </c>
      <c r="B29" s="21" t="str">
        <f aca="false">IF(A29="","",Itens!B29)</f>
        <v/>
      </c>
      <c r="C29" s="20" t="str">
        <f aca="false">IF(A29="","",Itens!D29)</f>
        <v/>
      </c>
      <c r="D29" s="20" t="str">
        <f aca="false">IF(A29="","",Itens!E29)</f>
        <v/>
      </c>
      <c r="E29" s="20" t="str">
        <f aca="false">IF(A29="","",COUNTIFS(Coleta!$A$2:$A$301,A29,Coleta!$H$2:$H$301,"Válido"))</f>
        <v/>
      </c>
      <c r="F29" s="22" t="str">
        <f aca="false">IF(OR(A29="",E29=0),"",AVERAGEIFS(Coleta!$G$2:$G$301,Coleta!$A$2:$A$301,A29,Coleta!$H$2:$H$301,"Válido"))</f>
        <v/>
      </c>
      <c r="G29" s="22" t="str">
        <f aca="false" t="array" ref="G29:G29">IF(OR(A29="",E29=0),"",MEDIAN(IF((Coleta!$A$2:$A$301=A29)*(Coleta!$H$2:$H$301="Válido"),Coleta!$G$2:$G$301)))</f>
        <v/>
      </c>
      <c r="H29" s="22" t="str">
        <f aca="false">IF(OR(A29="",E29=0),"",_xlfn.MINIFS(Coleta!$G$2:$G$301,Coleta!$A$2:$A$301,A29,Coleta!$H$2:$H$301,"Válido"))</f>
        <v/>
      </c>
      <c r="I29" s="22" t="str">
        <f aca="false" t="array" ref="I29:I29">IF(OR(A29="",E29&lt;2),"",STDEV(IF((Coleta!$A$2:$A$301=A29)*(Coleta!$H$2:$H$301="Válido"),Coleta!$G$2:$G$301)))</f>
        <v/>
      </c>
      <c r="J29" s="23" t="str">
        <f aca="false">IF(OR(A29="",E29&lt;2),"",I29/F29)</f>
        <v/>
      </c>
      <c r="K29" s="20" t="str">
        <f aca="false">IF(A29="","",Itens!F29)</f>
        <v/>
      </c>
      <c r="L29" s="22" t="str">
        <f aca="false">IF(OR(A29="",E29=0,K29=""),"",IF(K29="Média",F29,IF(K29="Mediana",G29,H29)))</f>
        <v/>
      </c>
      <c r="M29" s="24" t="str">
        <f aca="false">IF(A29="","",IF(Itens!G29="",0,Itens!G29))</f>
        <v/>
      </c>
      <c r="N29" s="22" t="str">
        <f aca="false">IF(L29="","",ROUND(L29*(1+M29),2))</f>
        <v/>
      </c>
      <c r="O29" s="22" t="str">
        <f aca="false">IF(OR(A29="",Itens!H29=""),"",Itens!H29)</f>
        <v/>
      </c>
      <c r="P29" s="22" t="str">
        <f aca="false">IF(OR(N29="",D29=""),"",IF(O29="",N29,MIN(N29,O29))*D29)</f>
        <v/>
      </c>
      <c r="Q29" s="21" t="str">
        <f aca="false">IF(A29="","",TRIM(IF(E29&lt;3,"Menos de 3 preços válidos: justificar e aprovar (art. 6º, § 5º). ","")&amp;IF(COUNTIFS(Coleta!$A$2:$A$301,A29,Coleta!$H$2:$H$301,"Válido",Coleta!$B$2:$B$301,"I")+COUNTIFS(Coleta!$A$2:$A$301,A29,Coleta!$H$2:$H$301,"Válido",Coleta!$B$2:$B$301,"II")=0,"Sem preço dos parâmetros I ou II: justificar (art. 5º, § 1º). ","")&amp;IF(AND(J29&lt;&gt;"",J29&gt;Identificação!$B$9),"CV acima do limite: análise crítica (art. 6º, § 4º). ","")&amp;IF(K29="","Escolher o método na aba Itens. ","")&amp;IF(AND(O29&lt;&gt;"",N29&lt;&gt;"",N29&gt;O29),"Estimado acima do PMC-TIC: usado o PMC-TIC (IN 94, art. 20, § 3º). ","")))</f>
        <v/>
      </c>
    </row>
    <row r="30" customFormat="false" ht="15" hidden="false" customHeight="false" outlineLevel="0" collapsed="false">
      <c r="A30" s="20" t="str">
        <f aca="false">IF(Itens!A30="","",Itens!A30)</f>
        <v/>
      </c>
      <c r="B30" s="21" t="str">
        <f aca="false">IF(A30="","",Itens!B30)</f>
        <v/>
      </c>
      <c r="C30" s="20" t="str">
        <f aca="false">IF(A30="","",Itens!D30)</f>
        <v/>
      </c>
      <c r="D30" s="20" t="str">
        <f aca="false">IF(A30="","",Itens!E30)</f>
        <v/>
      </c>
      <c r="E30" s="20" t="str">
        <f aca="false">IF(A30="","",COUNTIFS(Coleta!$A$2:$A$301,A30,Coleta!$H$2:$H$301,"Válido"))</f>
        <v/>
      </c>
      <c r="F30" s="22" t="str">
        <f aca="false">IF(OR(A30="",E30=0),"",AVERAGEIFS(Coleta!$G$2:$G$301,Coleta!$A$2:$A$301,A30,Coleta!$H$2:$H$301,"Válido"))</f>
        <v/>
      </c>
      <c r="G30" s="22" t="str">
        <f aca="false" t="array" ref="G30:G30">IF(OR(A30="",E30=0),"",MEDIAN(IF((Coleta!$A$2:$A$301=A30)*(Coleta!$H$2:$H$301="Válido"),Coleta!$G$2:$G$301)))</f>
        <v/>
      </c>
      <c r="H30" s="22" t="str">
        <f aca="false">IF(OR(A30="",E30=0),"",_xlfn.MINIFS(Coleta!$G$2:$G$301,Coleta!$A$2:$A$301,A30,Coleta!$H$2:$H$301,"Válido"))</f>
        <v/>
      </c>
      <c r="I30" s="22" t="str">
        <f aca="false" t="array" ref="I30:I30">IF(OR(A30="",E30&lt;2),"",STDEV(IF((Coleta!$A$2:$A$301=A30)*(Coleta!$H$2:$H$301="Válido"),Coleta!$G$2:$G$301)))</f>
        <v/>
      </c>
      <c r="J30" s="23" t="str">
        <f aca="false">IF(OR(A30="",E30&lt;2),"",I30/F30)</f>
        <v/>
      </c>
      <c r="K30" s="20" t="str">
        <f aca="false">IF(A30="","",Itens!F30)</f>
        <v/>
      </c>
      <c r="L30" s="22" t="str">
        <f aca="false">IF(OR(A30="",E30=0,K30=""),"",IF(K30="Média",F30,IF(K30="Mediana",G30,H30)))</f>
        <v/>
      </c>
      <c r="M30" s="24" t="str">
        <f aca="false">IF(A30="","",IF(Itens!G30="",0,Itens!G30))</f>
        <v/>
      </c>
      <c r="N30" s="22" t="str">
        <f aca="false">IF(L30="","",ROUND(L30*(1+M30),2))</f>
        <v/>
      </c>
      <c r="O30" s="22" t="str">
        <f aca="false">IF(OR(A30="",Itens!H30=""),"",Itens!H30)</f>
        <v/>
      </c>
      <c r="P30" s="22" t="str">
        <f aca="false">IF(OR(N30="",D30=""),"",IF(O30="",N30,MIN(N30,O30))*D30)</f>
        <v/>
      </c>
      <c r="Q30" s="21" t="str">
        <f aca="false">IF(A30="","",TRIM(IF(E30&lt;3,"Menos de 3 preços válidos: justificar e aprovar (art. 6º, § 5º). ","")&amp;IF(COUNTIFS(Coleta!$A$2:$A$301,A30,Coleta!$H$2:$H$301,"Válido",Coleta!$B$2:$B$301,"I")+COUNTIFS(Coleta!$A$2:$A$301,A30,Coleta!$H$2:$H$301,"Válido",Coleta!$B$2:$B$301,"II")=0,"Sem preço dos parâmetros I ou II: justificar (art. 5º, § 1º). ","")&amp;IF(AND(J30&lt;&gt;"",J30&gt;Identificação!$B$9),"CV acima do limite: análise crítica (art. 6º, § 4º). ","")&amp;IF(K30="","Escolher o método na aba Itens. ","")&amp;IF(AND(O30&lt;&gt;"",N30&lt;&gt;"",N30&gt;O30),"Estimado acima do PMC-TIC: usado o PMC-TIC (IN 94, art. 20, § 3º). ","")))</f>
        <v/>
      </c>
    </row>
    <row r="31" customFormat="false" ht="15" hidden="false" customHeight="false" outlineLevel="0" collapsed="false">
      <c r="A31" s="20" t="str">
        <f aca="false">IF(Itens!A31="","",Itens!A31)</f>
        <v/>
      </c>
      <c r="B31" s="21" t="str">
        <f aca="false">IF(A31="","",Itens!B31)</f>
        <v/>
      </c>
      <c r="C31" s="20" t="str">
        <f aca="false">IF(A31="","",Itens!D31)</f>
        <v/>
      </c>
      <c r="D31" s="20" t="str">
        <f aca="false">IF(A31="","",Itens!E31)</f>
        <v/>
      </c>
      <c r="E31" s="20" t="str">
        <f aca="false">IF(A31="","",COUNTIFS(Coleta!$A$2:$A$301,A31,Coleta!$H$2:$H$301,"Válido"))</f>
        <v/>
      </c>
      <c r="F31" s="22" t="str">
        <f aca="false">IF(OR(A31="",E31=0),"",AVERAGEIFS(Coleta!$G$2:$G$301,Coleta!$A$2:$A$301,A31,Coleta!$H$2:$H$301,"Válido"))</f>
        <v/>
      </c>
      <c r="G31" s="22" t="str">
        <f aca="false" t="array" ref="G31:G31">IF(OR(A31="",E31=0),"",MEDIAN(IF((Coleta!$A$2:$A$301=A31)*(Coleta!$H$2:$H$301="Válido"),Coleta!$G$2:$G$301)))</f>
        <v/>
      </c>
      <c r="H31" s="22" t="str">
        <f aca="false">IF(OR(A31="",E31=0),"",_xlfn.MINIFS(Coleta!$G$2:$G$301,Coleta!$A$2:$A$301,A31,Coleta!$H$2:$H$301,"Válido"))</f>
        <v/>
      </c>
      <c r="I31" s="22" t="str">
        <f aca="false" t="array" ref="I31:I31">IF(OR(A31="",E31&lt;2),"",STDEV(IF((Coleta!$A$2:$A$301=A31)*(Coleta!$H$2:$H$301="Válido"),Coleta!$G$2:$G$301)))</f>
        <v/>
      </c>
      <c r="J31" s="23" t="str">
        <f aca="false">IF(OR(A31="",E31&lt;2),"",I31/F31)</f>
        <v/>
      </c>
      <c r="K31" s="20" t="str">
        <f aca="false">IF(A31="","",Itens!F31)</f>
        <v/>
      </c>
      <c r="L31" s="22" t="str">
        <f aca="false">IF(OR(A31="",E31=0,K31=""),"",IF(K31="Média",F31,IF(K31="Mediana",G31,H31)))</f>
        <v/>
      </c>
      <c r="M31" s="24" t="str">
        <f aca="false">IF(A31="","",IF(Itens!G31="",0,Itens!G31))</f>
        <v/>
      </c>
      <c r="N31" s="22" t="str">
        <f aca="false">IF(L31="","",ROUND(L31*(1+M31),2))</f>
        <v/>
      </c>
      <c r="O31" s="22" t="str">
        <f aca="false">IF(OR(A31="",Itens!H31=""),"",Itens!H31)</f>
        <v/>
      </c>
      <c r="P31" s="22" t="str">
        <f aca="false">IF(OR(N31="",D31=""),"",IF(O31="",N31,MIN(N31,O31))*D31)</f>
        <v/>
      </c>
      <c r="Q31" s="21" t="str">
        <f aca="false">IF(A31="","",TRIM(IF(E31&lt;3,"Menos de 3 preços válidos: justificar e aprovar (art. 6º, § 5º). ","")&amp;IF(COUNTIFS(Coleta!$A$2:$A$301,A31,Coleta!$H$2:$H$301,"Válido",Coleta!$B$2:$B$301,"I")+COUNTIFS(Coleta!$A$2:$A$301,A31,Coleta!$H$2:$H$301,"Válido",Coleta!$B$2:$B$301,"II")=0,"Sem preço dos parâmetros I ou II: justificar (art. 5º, § 1º). ","")&amp;IF(AND(J31&lt;&gt;"",J31&gt;Identificação!$B$9),"CV acima do limite: análise crítica (art. 6º, § 4º). ","")&amp;IF(K31="","Escolher o método na aba Itens. ","")&amp;IF(AND(O31&lt;&gt;"",N31&lt;&gt;"",N31&gt;O31),"Estimado acima do PMC-TIC: usado o PMC-TIC (IN 94, art. 20, § 3º). ","")))</f>
        <v/>
      </c>
    </row>
    <row r="33" customFormat="false" ht="15" hidden="false" customHeight="false" outlineLevel="0" collapsed="false">
      <c r="O33" s="5" t="s">
        <v>88</v>
      </c>
      <c r="P33" s="25" t="n">
        <f aca="false">SUM(P2:P31)</f>
        <v>806925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90"/>
  </cols>
  <sheetData>
    <row r="1" customFormat="false" ht="15" hidden="false" customHeight="false" outlineLevel="0" collapsed="false">
      <c r="A1" s="4" t="s">
        <v>89</v>
      </c>
    </row>
    <row r="3" customFormat="false" ht="60" hidden="false" customHeight="true" outlineLevel="0" collapsed="false">
      <c r="A3" s="3" t="s">
        <v>90</v>
      </c>
      <c r="B3" s="26"/>
    </row>
    <row r="4" customFormat="false" ht="60" hidden="false" customHeight="true" outlineLevel="0" collapsed="false">
      <c r="A4" s="3" t="s">
        <v>91</v>
      </c>
      <c r="B4" s="26"/>
    </row>
    <row r="5" customFormat="false" ht="60" hidden="false" customHeight="true" outlineLevel="0" collapsed="false">
      <c r="A5" s="3" t="s">
        <v>92</v>
      </c>
      <c r="B5" s="26"/>
    </row>
    <row r="6" customFormat="false" ht="60" hidden="false" customHeight="true" outlineLevel="0" collapsed="false">
      <c r="A6" s="3" t="s">
        <v>93</v>
      </c>
      <c r="B6" s="26"/>
    </row>
    <row r="7" customFormat="false" ht="60" hidden="false" customHeight="true" outlineLevel="0" collapsed="false">
      <c r="A7" s="3" t="s">
        <v>94</v>
      </c>
      <c r="B7" s="26"/>
    </row>
    <row r="8" customFormat="false" ht="60" hidden="false" customHeight="true" outlineLevel="0" collapsed="false">
      <c r="A8" s="3" t="s">
        <v>95</v>
      </c>
      <c r="B8" s="26"/>
    </row>
    <row r="9" customFormat="false" ht="60" hidden="false" customHeight="true" outlineLevel="0" collapsed="false">
      <c r="A9" s="3" t="s">
        <v>96</v>
      </c>
      <c r="B9" s="26"/>
    </row>
    <row r="10" customFormat="false" ht="60" hidden="false" customHeight="true" outlineLevel="0" collapsed="false">
      <c r="A10" s="3" t="s">
        <v>97</v>
      </c>
      <c r="B10" s="26"/>
    </row>
    <row r="11" customFormat="false" ht="60" hidden="false" customHeight="true" outlineLevel="0" collapsed="false">
      <c r="A11" s="3" t="s">
        <v>98</v>
      </c>
      <c r="B11" s="26"/>
    </row>
    <row r="12" customFormat="false" ht="60" hidden="false" customHeight="true" outlineLevel="0" collapsed="false">
      <c r="A12" s="3" t="s">
        <v>99</v>
      </c>
      <c r="B12" s="2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2026-10-23T15:55:17Z</dcterms:created>
  <dc:creator>openpyxl</dc:creator>
  <dc:description/>
  <dc:language>en-US</dc:language>
  <cp:lastModifiedBy/>
  <dcterms:modified xsi:type="dcterms:W3CDTF">2026-10-23T15:55:17Z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